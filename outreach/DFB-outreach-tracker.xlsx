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rands" sheetId="2" state="visible" r:id="rId4"/>
    <sheet name="Media" sheetId="3" state="visible" r:id="rId5"/>
    <sheet name="Partners &amp; Speaking" sheetId="4" state="visible" r:id="rId6"/>
    <sheet name="Events" sheetId="5" state="visible" r:id="rId7"/>
  </sheets>
  <definedNames>
    <definedName function="false" hidden="true" localSheetId="1" name="_xlnm._FilterDatabase" vbProcedure="false">Brands!$A$4:$P$42</definedName>
    <definedName function="false" hidden="true" localSheetId="4" name="_xlnm._FilterDatabase" vbProcedure="false">Events!$A$4:$N$44</definedName>
    <definedName function="false" hidden="true" localSheetId="2" name="_xlnm._FilterDatabase" vbProcedure="false">Media!$A$4:$P$41</definedName>
    <definedName function="false" hidden="true" localSheetId="3" name="_xlnm._FilterDatabase" vbProcedure="false">'Partners &amp; Speaking'!$A$4:$P$23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<sst xmlns="http://schemas.openxmlformats.org/spreadsheetml/2006/main" count="1466" uniqueCount="829">
  <si>
    <t xml:space="preserve">The Data Fashion Brief, Outreach Tracker</t>
  </si>
  <si>
    <t xml:space="preserve">Brands, media, partners and events in one place. Built 11 October 2026.</t>
  </si>
  <si>
    <t xml:space="preserve">Pipeline</t>
  </si>
  <si>
    <t xml:space="preserve">Tab</t>
  </si>
  <si>
    <t xml:space="preserve">To pitch</t>
  </si>
  <si>
    <t xml:space="preserve">Pitched</t>
  </si>
  <si>
    <t xml:space="preserve">Followed up</t>
  </si>
  <si>
    <t xml:space="preserve">Replied</t>
  </si>
  <si>
    <t xml:space="preserve">Booked</t>
  </si>
  <si>
    <t xml:space="preserve">Declined</t>
  </si>
  <si>
    <t xml:space="preserve">Total</t>
  </si>
  <si>
    <t xml:space="preserve">Brands</t>
  </si>
  <si>
    <t xml:space="preserve">Media</t>
  </si>
  <si>
    <t xml:space="preserve">Partners &amp; Speaking</t>
  </si>
  <si>
    <t xml:space="preserve">All contacts</t>
  </si>
  <si>
    <t xml:space="preserve">Events</t>
  </si>
  <si>
    <t xml:space="preserve">Status</t>
  </si>
  <si>
    <t xml:space="preserve">Want to go</t>
  </si>
  <si>
    <t xml:space="preserve">Applied</t>
  </si>
  <si>
    <t xml:space="preserve">Invited</t>
  </si>
  <si>
    <t xml:space="preserve">Going</t>
  </si>
  <si>
    <t xml:space="preserve">Went</t>
  </si>
  <si>
    <t xml:space="preserve">Skip</t>
  </si>
  <si>
    <t xml:space="preserve">Overdue follow-ups</t>
  </si>
  <si>
    <t xml:space="preserve">Pitched or followed up 7+ days ago with no reply yet</t>
  </si>
  <si>
    <t xml:space="preserve">How to use it</t>
  </si>
  <si>
    <t xml:space="preserve">• Yellow cells are the ones you fill in: Status (pick from the dropdown) and Last contact (the date you sent the pitch or follow-up).</t>
  </si>
  <si>
    <t xml:space="preserve">• Follow up by fills itself in 7 days after Last contact, and turns red once it's due and you still haven't had a reply.</t>
  </si>
  <si>
    <t xml:space="preserve">• Rows change colour with status: amber once pitched, green once they reply or book, grey if declined.</t>
  </si>
  <si>
    <t xml:space="preserve">• Every contact was published by the organisation itself (press pages, staff pages, official releases). None were guessed. Click Where contact is published to check it before you send, because these were found through search results rather than by opening each page.</t>
  </si>
  <si>
    <t xml:space="preserve">• Flags marks Farfetch competitors and ex-employers (check your contract before any paid deal) and contacts or routes that are unverified.</t>
  </si>
  <si>
    <t xml:space="preserve">• Add new rows at the bottom of any tab. Dropdowns and formulas are already set up for about 40 more rows per tab.</t>
  </si>
  <si>
    <t xml:space="preserve">• Pitch drafts live in drafts/outreach-pitches-draft.md in the repo.</t>
  </si>
  <si>
    <t xml:space="preserve">Start this week</t>
  </si>
  <si>
    <t xml:space="preserve">• Request a BoF VOICES invite (form open now, 1 to 4 December).</t>
  </si>
  <si>
    <t xml:space="preserve">• Sign up to ShopMy and LTK as a creator.</t>
  </si>
  <si>
    <t xml:space="preserve">• Pitch three High-priority brands, each with one real data point about that brand.</t>
  </si>
  <si>
    <t xml:space="preserve">• Send the DFB for [Outlet] concept to two US titles and one UK title.</t>
  </si>
  <si>
    <t xml:space="preserve">• Ask the British Fashion Council press office about media accreditation for The Fashion Awards (30 November).</t>
  </si>
  <si>
    <t xml:space="preserve">Contemporary and luxury brands plus retailers and affiliate platforms, US first, sorted by priority</t>
  </si>
  <si>
    <t xml:space="preserve">Name</t>
  </si>
  <si>
    <t xml:space="preserve">Type</t>
  </si>
  <si>
    <t xml:space="preserve">Segment</t>
  </si>
  <si>
    <t xml:space="preserve">Market</t>
  </si>
  <si>
    <t xml:space="preserve">Priority</t>
  </si>
  <si>
    <t xml:space="preserve">Last contact</t>
  </si>
  <si>
    <t xml:space="preserve">Follow up by</t>
  </si>
  <si>
    <t xml:space="preserve">Contact</t>
  </si>
  <si>
    <t xml:space="preserve">Where contact is published</t>
  </si>
  <si>
    <t xml:space="preserve">Why it fits</t>
  </si>
  <si>
    <t xml:space="preserve">Pitch angle</t>
  </si>
  <si>
    <t xml:space="preserve">How to reach</t>
  </si>
  <si>
    <t xml:space="preserve">Source link</t>
  </si>
  <si>
    <t xml:space="preserve">Flags</t>
  </si>
  <si>
    <t xml:space="preserve">Notes</t>
  </si>
  <si>
    <t xml:space="preserve">Aritzia</t>
  </si>
  <si>
    <t xml:space="preserve">Brand</t>
  </si>
  <si>
    <t xml:space="preserve">Contemporary</t>
  </si>
  <si>
    <t xml:space="preserve">US + Canada</t>
  </si>
  <si>
    <t xml:space="preserve">High</t>
  </si>
  <si>
    <t xml:space="preserve">Press and influencer addresses on their media room page (masked in search, open the page)</t>
  </si>
  <si>
    <t xml:space="preserve">https://www.aritzia.com/us/en/aritzia/corporate-hub/corporate-media-room</t>
  </si>
  <si>
    <t xml:space="preserve">US net revenue up 44% in fiscal 2026 per the CEO, a made-for-data US growth story</t>
  </si>
  <si>
    <t xml:space="preserve">Why US shoppers went for Aritzia, told through search and product data</t>
  </si>
  <si>
    <t xml:space="preserve">No public route found, Instagram DM or LinkedIn PR lead</t>
  </si>
  <si>
    <t xml:space="preserve">https://www.marketbeat.com/instant-alerts/aritzia-shareholders-back-board-as-ceo-touts-35-revenue-growth-us-expansion-2026-07-13/</t>
  </si>
  <si>
    <t xml:space="preserve">Route unverified, check before sending</t>
  </si>
  <si>
    <t xml:space="preserve">Coach</t>
  </si>
  <si>
    <t xml:space="preserve">Luxury</t>
  </si>
  <si>
    <t xml:space="preserve">US</t>
  </si>
  <si>
    <t xml:space="preserve">media@tapestry.com (Tapestry press office)</t>
  </si>
  <si>
    <t xml:space="preserve">https://www.tapestry.com/contact/</t>
  </si>
  <si>
    <t xml:space="preserve">Strongest data story on the list: Coach revenue up 24% in fiscal 2026, about 35% of Tapestry's new customers were Gen Z, and No. 9 on the Lyst Index Q2 2026</t>
  </si>
  <si>
    <t xml:space="preserve">A Gen Z and the handbag data piece, or a Trend Autopsy with Coach as the picks</t>
  </si>
  <si>
    <t xml:space="preserve">In-house influencer and creator marketing team in New York (job ads), plus a London PR role covering Coach and Kate Spade, no affiliate page found</t>
  </si>
  <si>
    <t xml:space="preserve">https://pulse2.com/tapestry-11-million-new-customers-join-in-fy26-as-gen-z-represents-35-of-acquisitions/</t>
  </si>
  <si>
    <t xml:space="preserve">Figures from secondary sources, check Tapestry's own release before quoting. Corporate comms. A recent release also names a Sr Director Communications, and the London PR role covers Coach UK</t>
  </si>
  <si>
    <t xml:space="preserve">ME+EM</t>
  </si>
  <si>
    <t xml:space="preserve">UK + US</t>
  </si>
  <si>
    <t xml:space="preserve">press@meandem.com</t>
  </si>
  <si>
    <t xml:space="preserve">https://www.meandem.com/us/contact</t>
  </si>
  <si>
    <t xml:space="preserve">London brand with US sales up 61% to £47m in the year to January 2025, stores in New York, Dallas, LA and Greenwich</t>
  </si>
  <si>
    <t xml:space="preserve">A London to US data story, which is exactly your audience split</t>
  </si>
  <si>
    <t xml:space="preserve">https://fashionunited.com/news/business/me-em-welcomes-strong-growth-as-us-market-drives-performance/2025103168975</t>
  </si>
  <si>
    <t xml:space="preserve">Latest figures are from 2025</t>
  </si>
  <si>
    <t xml:space="preserve">Ralph Lauren</t>
  </si>
  <si>
    <t xml:space="preserve">RL-Press@ralphlauren.com</t>
  </si>
  <si>
    <t xml:space="preserve">https://corporate.ralphlauren.com/contact</t>
  </si>
  <si>
    <t xml:space="preserve">Fiscal 2026 revenue up 15% to over $8bn, 6.5m new direct customers, a stated push for younger shoppers, and No. 7 on Lyst Q2 2026</t>
  </si>
  <si>
    <t xml:space="preserve">The younger customer story, and Ralph Lauren was one of the houses where denim showed up most in your NYFW SS27 data</t>
  </si>
  <si>
    <t xml:space="preserve">No public route found, LinkedIn PR lead</t>
  </si>
  <si>
    <t xml:space="preserve">https://www.sec.gov/Archives/edgar/data/0001037038/000162828026037053/rl-20260328xex991xpressrel.htm</t>
  </si>
  <si>
    <t xml:space="preserve">Reformation</t>
  </si>
  <si>
    <t xml:space="preserve">press@thereformation.com</t>
  </si>
  <si>
    <t xml:space="preserve">https://help.thereformation.com/en_us/contact/contact-us-HJbQdfdHj</t>
  </si>
  <si>
    <t xml:space="preserve">Newly public in 2026, Q2 revenue up 24% to $155m, its 21st straight quarter of double-digit growth</t>
  </si>
  <si>
    <t xml:space="preserve">Data read of a brand that keeps growing, plus shoppable picks</t>
  </si>
  <si>
    <t xml:space="preserve">Affiliate programme exists, third parties disagree on terms</t>
  </si>
  <si>
    <t xml:space="preserve">https://affilimate.com/programs/reformation-affiliate-program/</t>
  </si>
  <si>
    <t xml:space="preserve">Tibi</t>
  </si>
  <si>
    <t xml:space="preserve">press@tibi.com</t>
  </si>
  <si>
    <t xml:space="preserve">https://tibi.com/pages/customer-care</t>
  </si>
  <si>
    <t xml:space="preserve">Founder Amy Smilovic writes her own Substack, so a newsletter-native collab is plausible</t>
  </si>
  <si>
    <t xml:space="preserve">Substack collab or cross-post on how to actually build a wardrobe from trends</t>
  </si>
  <si>
    <t xml:space="preserve">Substack DM to the founder, otherwise Instagram DM</t>
  </si>
  <si>
    <t xml:space="preserve">https://www.disneyrollergirl.net/fashion-founder-substacks-influencers/</t>
  </si>
  <si>
    <t xml:space="preserve">Check her Substack is still active in 2026. Covers PR, events and samples</t>
  </si>
  <si>
    <t xml:space="preserve">Toteme</t>
  </si>
  <si>
    <t xml:space="preserve">EU + US</t>
  </si>
  <si>
    <t xml:space="preserve">press@toteme.com</t>
  </si>
  <si>
    <t xml:space="preserve">https://toteme-studio.com/pages/contact</t>
  </si>
  <si>
    <t xml:space="preserve">Expanding in the US with a Bal Harbour store (July 2026) and its first Texas store in Dallas</t>
  </si>
  <si>
    <t xml:space="preserve">Quiet dressing, measured: what the data says about the minimalist wardrobe</t>
  </si>
  <si>
    <t xml:space="preserve">No public route found, Instagram DM</t>
  </si>
  <si>
    <t xml:space="preserve">https://www.papercitymag.com/fashion/knox-street-announces-new-retailers-2026/</t>
  </si>
  <si>
    <t xml:space="preserve">Ulla Johnson</t>
  </si>
  <si>
    <t xml:space="preserve">US + UK</t>
  </si>
  <si>
    <t xml:space="preserve">press@ullajohnson.com</t>
  </si>
  <si>
    <t xml:space="preserve">https://ullajohnson.com/pages/contact</t>
  </si>
  <si>
    <t xml:space="preserve">Opened its first store outside the US on Sloane Street, London, in September 2026</t>
  </si>
  <si>
    <t xml:space="preserve">US brand landing in London, a clean fit for a US and UK audience</t>
  </si>
  <si>
    <t xml:space="preserve">https://fashionunited.uk/news/retail/ulla-johnson-opens-first-standalone-store-outside-us-in-london/2026090390118</t>
  </si>
  <si>
    <t xml:space="preserve">Veronica Beard</t>
  </si>
  <si>
    <t xml:space="preserve">press@veronicabeard.com</t>
  </si>
  <si>
    <t xml:space="preserve">https://veronicabeard.com/pages/press</t>
  </si>
  <si>
    <t xml:space="preserve">Runs an in-house affiliate programme with a dedicated partnerships manager, the most realistic quick yes</t>
  </si>
  <si>
    <t xml:space="preserve">Workwear trend piece with Veronica Beard as the picks</t>
  </si>
  <si>
    <t xml:space="preserve">Affiliate programme (FlexOffers listing), in-house partnerships team</t>
  </si>
  <si>
    <t xml:space="preserve">https://veronicabeard.com/blogs/career/affiliate-digital-partnerships-manager</t>
  </si>
  <si>
    <t xml:space="preserve">Cult Gaia</t>
  </si>
  <si>
    <t xml:space="preserve">Medium</t>
  </si>
  <si>
    <t xml:space="preserve">pr@cultgaia.com</t>
  </si>
  <si>
    <t xml:space="preserve">https://cultgaia.com/pages/work-with-us</t>
  </si>
  <si>
    <t xml:space="preserve">Showed its first NYFW runway for Fall/Winter 2026</t>
  </si>
  <si>
    <t xml:space="preserve">Runway debut decoded with your tagging</t>
  </si>
  <si>
    <t xml:space="preserve">https://www.nssmag.com/en/fashion/44248/nyfw-fw26-debuts-proenza-schouler-calvin-klein-cult-gaia-n4xt</t>
  </si>
  <si>
    <t xml:space="preserve">Replies in 3 to 5 business days</t>
  </si>
  <si>
    <t xml:space="preserve">Dôen</t>
  </si>
  <si>
    <t xml:space="preserve">press@shopdoen.com</t>
  </si>
  <si>
    <t xml:space="preserve">https://www.shopdoen.com/pages/contact</t>
  </si>
  <si>
    <t xml:space="preserve">LA brand opening its first Texas store in 2026</t>
  </si>
  <si>
    <t xml:space="preserve">Romantic prairie dressing, trend or not?</t>
  </si>
  <si>
    <t xml:space="preserve">Frame / Agolde</t>
  </si>
  <si>
    <t xml:space="preserve">Agolde press: AJoines@citizensofhumanity.com (Frame has none published)</t>
  </si>
  <si>
    <t xml:space="preserve">https://agolde.com/pages/sales-press</t>
  </si>
  <si>
    <t xml:space="preserve">Premium denim, and denim was in 38% of NYFW SS27 catwalks in your own data</t>
  </si>
  <si>
    <t xml:space="preserve">Denim data piece with them as the picks</t>
  </si>
  <si>
    <t xml:space="preserve">Frame affiliate on Daisycon (status unclear), Agolde no public route</t>
  </si>
  <si>
    <t xml:space="preserve">https://www.daisycon.com/sv/kampanj/18386-frame-int/</t>
  </si>
  <si>
    <t xml:space="preserve">Jenni Kayne</t>
  </si>
  <si>
    <t xml:space="preserve">Glossy covered how its NYFW event won it valuable cross-category shoppers</t>
  </si>
  <si>
    <t xml:space="preserve">Event invite plus a data piece on the California minimalist look</t>
  </si>
  <si>
    <t xml:space="preserve">Hosts press and influencers at its NYFW events, Instagram DM</t>
  </si>
  <si>
    <t xml:space="preserve">https://www.glossy.co/fashion/how-jenni-kayne-used-its-nyfw-show-to-acquire-valuable-cross-category-shoppers/</t>
  </si>
  <si>
    <t xml:space="preserve">Khaite</t>
  </si>
  <si>
    <t xml:space="preserve">press@khaite.com</t>
  </si>
  <si>
    <t xml:space="preserve">https://khaite.com/pages/contact-us</t>
  </si>
  <si>
    <t xml:space="preserve">A Lyst favourite with stores in SoHo and Dallas, and strong on named trends in your NYFW SS27 data</t>
  </si>
  <si>
    <t xml:space="preserve">Data portrait of a house that leads the season's named trends</t>
  </si>
  <si>
    <t xml:space="preserve">https://www.papercitymag.com/fashion/khaite-dallas-new-store-shopping-clothing-quiet-luxury/</t>
  </si>
  <si>
    <t xml:space="preserve">Source snapshot is old, check it still works</t>
  </si>
  <si>
    <t xml:space="preserve">Miu Miu (editorial subject)</t>
  </si>
  <si>
    <t xml:space="preserve">Global</t>
  </si>
  <si>
    <t xml:space="preserve">No. 2 on Lyst Q2 2026 with searches up 30%, but H1 2026 retail sales grew only about 3%</t>
  </si>
  <si>
    <t xml:space="preserve">Perfect Stop Calling Everything a Trend piece: buzz versus sales</t>
  </si>
  <si>
    <t xml:space="preserve">Not a realistic partner yet, write about it instead</t>
  </si>
  <si>
    <t xml:space="preserve">https://fashionunited.com/news/business/prada-group-closes-h1-with-a-16-percent-increase-in-net-revenue/2026073073824</t>
  </si>
  <si>
    <t xml:space="preserve">Polène</t>
  </si>
  <si>
    <t xml:space="preserve">contact@polene-paris.com (also for partnership applications)</t>
  </si>
  <si>
    <t xml:space="preserve">https://support.polene-paris.com/hc/en-us/articles/360010129820</t>
  </si>
  <si>
    <t xml:space="preserve">Opened in New York and says sales double every year, figures not disclosed</t>
  </si>
  <si>
    <t xml:space="preserve">The it-bag that isn't a logo bag, search data angle</t>
  </si>
  <si>
    <t xml:space="preserve">https://www.glossy.co/fashion/french-brands-are-expanding-their-retail-presence-to-the-u-s/</t>
  </si>
  <si>
    <t xml:space="preserve">Proenza Schouler</t>
  </si>
  <si>
    <t xml:space="preserve">press@proenzaschouler.com</t>
  </si>
  <si>
    <t xml:space="preserve">https://www.proenzaschouler.com/pages/contact-us</t>
  </si>
  <si>
    <t xml:space="preserve">New creative director Rachel Scott debuted with Fall/Winter 2026 after the founders left for Loewe</t>
  </si>
  <si>
    <t xml:space="preserve">Before and after data piece on a creative director change</t>
  </si>
  <si>
    <t xml:space="preserve">https://www.theindustry.fashion/proenza-schouler-names-rachel-scott-as-creative-director/</t>
  </si>
  <si>
    <t xml:space="preserve">Rixo</t>
  </si>
  <si>
    <t xml:space="preserve">press@rixo.co.uk</t>
  </si>
  <si>
    <t xml:space="preserve">https://www.rixo.co.uk/contact/</t>
  </si>
  <si>
    <t xml:space="preserve">Says its SoHo store drove a 43% rise in US direct sales after the 2024 pop-up went permanent</t>
  </si>
  <si>
    <t xml:space="preserve">London print brand in New York, through data</t>
  </si>
  <si>
    <t xml:space="preserve">https://us.fashionnetwork.com/news/Rixo-makes-nyc-pop-up-a-permanent-store,1659332.html</t>
  </si>
  <si>
    <t xml:space="preserve">Data is from 2024. Source snapshot is old, check it still works</t>
  </si>
  <si>
    <t xml:space="preserve">Staud</t>
  </si>
  <si>
    <t xml:space="preserve">press@staud.clothing</t>
  </si>
  <si>
    <t xml:space="preserve">https://staud.clothing/pages/contact-us</t>
  </si>
  <si>
    <t xml:space="preserve">Opening its first Texas store in 2026, and its signature bags are perfect Trend Autopsy material</t>
  </si>
  <si>
    <t xml:space="preserve">Is the Staud bag still a trend? Search data says...</t>
  </si>
  <si>
    <t xml:space="preserve">Affiliate programmes listed as closed, Instagram DM</t>
  </si>
  <si>
    <t xml:space="preserve">Sézane</t>
  </si>
  <si>
    <t xml:space="preserve">Contact form, topic Press and partnerships</t>
  </si>
  <si>
    <t xml:space="preserve">https://www.sezane.com/us-en/contact</t>
  </si>
  <si>
    <t xml:space="preserve">Keeps opening US stores, with Washington DC opening in April 2026</t>
  </si>
  <si>
    <t xml:space="preserve">French brand winning American shoppers, told through data</t>
  </si>
  <si>
    <t xml:space="preserve">Awin UK merchant profile, otherwise Instagram DM</t>
  </si>
  <si>
    <t xml:space="preserve">https://fashionunited.com/news/retail/sezane-to-open-new-us-store-in-washington-in-april/2026020470406</t>
  </si>
  <si>
    <t xml:space="preserve">Tory Burch</t>
  </si>
  <si>
    <t xml:space="preserve">press@toryburch.com, partnerships: marketing@toryburch.com</t>
  </si>
  <si>
    <t xml:space="preserve">https://www.toryburch.com/on/demandware.store/Sites-ToryBurch_EU-Site/en/CustomerService-ContactUs</t>
  </si>
  <si>
    <t xml:space="preserve">US-heavy accessible luxury, no 2026 data found</t>
  </si>
  <si>
    <t xml:space="preserve">Affiliate for picks</t>
  </si>
  <si>
    <t xml:space="preserve">Affiliate listings (US status unclear, UK about 2%)</t>
  </si>
  <si>
    <t xml:space="preserve">https://www.flexoffers.com/affiliate-programs/tory-burch-affiliate-program/</t>
  </si>
  <si>
    <t xml:space="preserve">Vince</t>
  </si>
  <si>
    <t xml:space="preserve">Q2 2026 net sales up 12% to $82m, guidance raised, and it bought OVO to move into streetwear</t>
  </si>
  <si>
    <t xml:space="preserve">Data read of a quiet brand turning around</t>
  </si>
  <si>
    <t xml:space="preserve">https://secure.businesswire.com/news/home/20260910767018/en/Vince-Holding-Corp.-Reports-Second-Quarter-2026-Results</t>
  </si>
  <si>
    <t xml:space="preserve">Gabriela Hearst / Altuzarra</t>
  </si>
  <si>
    <t xml:space="preserve">Low</t>
  </si>
  <si>
    <t xml:space="preserve">New York luxury, no strong 2026 business hook found</t>
  </si>
  <si>
    <t xml:space="preserve">Editorial subject first</t>
  </si>
  <si>
    <t xml:space="preserve">https://ww.fashionnetwork.com/tags-gabriela-hearst</t>
  </si>
  <si>
    <t xml:space="preserve">Jacquemus</t>
  </si>
  <si>
    <t xml:space="preserve">The US is reportedly its biggest market, with stores in LA and SoHo</t>
  </si>
  <si>
    <t xml:space="preserve">Data read on the novelty bag</t>
  </si>
  <si>
    <t xml:space="preserve">https://fashionunited.com/news/retail/jacquemus-opens-in-los-angeles-on-melrose-avenue/2025042465643</t>
  </si>
  <si>
    <t xml:space="preserve">Sandy Liang / Ganni</t>
  </si>
  <si>
    <t xml:space="preserve">US / EU + US</t>
  </si>
  <si>
    <t xml:space="preserve">Ganni London PR (DH-PR): ganni@dh-pr.com, HQ: press@ganni.com</t>
  </si>
  <si>
    <t xml:space="preserve">https://www.ganni.com/us/press-showrooms.html</t>
  </si>
  <si>
    <t xml:space="preserve">Cult downtown and Scandi labels, no 2026 business data found</t>
  </si>
  <si>
    <t xml:space="preserve">Trend Autopsy picks</t>
  </si>
  <si>
    <t xml:space="preserve">https://www.instagram.com</t>
  </si>
  <si>
    <t xml:space="preserve">The Row (editorial subject)</t>
  </si>
  <si>
    <t xml:space="preserve">Avoids influencers, advertising and gifting, and banned phones from its shows</t>
  </si>
  <si>
    <t xml:space="preserve">Write about it, don't pitch it</t>
  </si>
  <si>
    <t xml:space="preserve">None, the brand avoids creators</t>
  </si>
  <si>
    <t xml:space="preserve">https://graziamagazine.com/us/articles/the-row-paris-fashion-week-no-social-media/</t>
  </si>
  <si>
    <t xml:space="preserve">Liberty London</t>
  </si>
  <si>
    <t xml:space="preserve">Retail / affiliate</t>
  </si>
  <si>
    <t xml:space="preserve">London heritage, curated, the right register for DFB readers</t>
  </si>
  <si>
    <t xml:space="preserve">Affiliate for Exhibit A picks</t>
  </si>
  <si>
    <t xml:space="preserve">Official affiliate page, UK runs through Rakuten</t>
  </si>
  <si>
    <t xml:space="preserve">https://libertylondon.com/uk/information/the-liberty-london-affiliate-program.html</t>
  </si>
  <si>
    <t xml:space="preserve">LTK</t>
  </si>
  <si>
    <t xml:space="preserve">Retailer</t>
  </si>
  <si>
    <t xml:space="preserve">Creator shoppable-link platform with about 3,700 brands, and its Quick Collabs (March 2026) pays flat fees within 48 to 72 hours</t>
  </si>
  <si>
    <t xml:space="preserve">Join as a creator for Trend Autopsy picks</t>
  </si>
  <si>
    <t xml:space="preserve">Sign up as a creator, no UK eligibility page verified</t>
  </si>
  <si>
    <t xml:space="preserve">https://secure.businesswire.com/news/home/20260318912197/en/LTK-Launches-Quick-Collabs-A-Faster-Way-for-Brands-and-Creators-to-Work-Together</t>
  </si>
  <si>
    <t xml:space="preserve">Nordstrom</t>
  </si>
  <si>
    <t xml:space="preserve">influencers@nordstrom.com (partnerships), NordstromPR@Nordstrom.com (press)</t>
  </si>
  <si>
    <t xml:space="preserve">https://www.nordstrom.com/browse/about/nordstrom-media-network</t>
  </si>
  <si>
    <t xml:space="preserve">Big US department store, its own page says creator affiliates go through Rakuten, LTK and ShopStyle</t>
  </si>
  <si>
    <t xml:space="preserve">Affiliate for picks across contemporary brands</t>
  </si>
  <si>
    <t xml:space="preserve">Rakuten, LTK or ShopStyle</t>
  </si>
  <si>
    <t xml:space="preserve">https://nordstrom.gcs-web.com/work-us-0</t>
  </si>
  <si>
    <t xml:space="preserve">Some luxury overlap with Farfetch</t>
  </si>
  <si>
    <t xml:space="preserve">Shopbop</t>
  </si>
  <si>
    <t xml:space="preserve">Open influencer and affiliate programme that moves top performers up to a managed tier, and it covers many of the brands above at once</t>
  </si>
  <si>
    <t xml:space="preserve">Affiliate for every Trend Autopsy</t>
  </si>
  <si>
    <t xml:space="preserve">Apply to the influencer programme, links run through Amazon Associates</t>
  </si>
  <si>
    <t xml:space="preserve">https://getlasso.co/affiliate/shopbop/</t>
  </si>
  <si>
    <t xml:space="preserve">Partial overlap with Farfetch on contemporary brands; Route unverified, check before sending</t>
  </si>
  <si>
    <t xml:space="preserve">ShopMy</t>
  </si>
  <si>
    <t xml:space="preserve">Creator platform positioned for premium and luxury brands, raised $70m at a $1.5bn valuation in 2025</t>
  </si>
  <si>
    <t xml:space="preserve">Join as a creator, it's where premium brands look for partners</t>
  </si>
  <si>
    <t xml:space="preserve">Apply as a creator</t>
  </si>
  <si>
    <t xml:space="preserve">https://pulse2.com/shopmy-70-million-at-1-5-billion-valuation-raised-for-expanding-curated-commerce-infrastructure-for-premium-brands</t>
  </si>
  <si>
    <t xml:space="preserve">Revolve</t>
  </si>
  <si>
    <t xml:space="preserve">revolveus@karlaotto.com (Karla Otto, Revolve's PR)</t>
  </si>
  <si>
    <t xml:space="preserve">https://investors.revolve.com/news/news-details/2026/Revolve-Group-Announces-Second-Quarter-2026-Financial-Results/default.aspx</t>
  </si>
  <si>
    <t xml:space="preserve">US contemporary retailer with a Brand Ambassador programme paying commission</t>
  </si>
  <si>
    <t xml:space="preserve">Brand Ambassador programme</t>
  </si>
  <si>
    <t xml:space="preserve">https://investors.revolve.com/files/doc_news/REVOLVE-Launches-Brand-Ambassador-Program-Leveraging-in-House-Proprietary-Technology-2021.pdf</t>
  </si>
  <si>
    <t xml:space="preserve">Whatnot</t>
  </si>
  <si>
    <t xml:space="preserve">You went to their LFW event, UK creator programme launched May 2026</t>
  </si>
  <si>
    <t xml:space="preserve">Live-shopping trend explainer or creator programme</t>
  </si>
  <si>
    <t xml:space="preserve">Check the creator terms on Whatnot directly, warm contact from the event</t>
  </si>
  <si>
    <t xml:space="preserve">https://www.whatnot.com</t>
  </si>
  <si>
    <t xml:space="preserve">FWRD</t>
  </si>
  <si>
    <t xml:space="preserve">Revolve's luxury site with an ambassador and affiliate programme</t>
  </si>
  <si>
    <t xml:space="preserve">Affiliate</t>
  </si>
  <si>
    <t xml:space="preserve">Official affiliate page</t>
  </si>
  <si>
    <t xml:space="preserve">https://www.fwrd.com/fw/Affiliate.jsp</t>
  </si>
  <si>
    <t xml:space="preserve">Competitor: luxury e-commerce</t>
  </si>
  <si>
    <t xml:space="preserve">Probably skip while at Farfetch</t>
  </si>
  <si>
    <t xml:space="preserve">Mytheresa</t>
  </si>
  <si>
    <t xml:space="preserve">Luxury affiliate with an official page</t>
  </si>
  <si>
    <t xml:space="preserve">https://www.mytheresa.com/me/en/affiliates</t>
  </si>
  <si>
    <t xml:space="preserve">Competitor: luxury marketplace</t>
  </si>
  <si>
    <t xml:space="preserve">Net-a-Porter / Mr Porter</t>
  </si>
  <si>
    <t xml:space="preserve">Luxury affiliate</t>
  </si>
  <si>
    <t xml:space="preserve">Affiliate networks per aggregators</t>
  </si>
  <si>
    <t xml:space="preserve">https://www.net-a-porter.com</t>
  </si>
  <si>
    <t xml:space="preserve">Competitor and ex-employer (YNAP); Route unverified, check before sending</t>
  </si>
  <si>
    <t xml:space="preserve">Saks / Neiman Marcus / Bergdorf</t>
  </si>
  <si>
    <t xml:space="preserve">Came out of Chapter 11 in June 2026 as Exemplar Luxury Group, about 100 stores closed</t>
  </si>
  <si>
    <t xml:space="preserve">Editorial subject rather than partner right now</t>
  </si>
  <si>
    <t xml:space="preserve">No route verified</t>
  </si>
  <si>
    <t xml:space="preserve">https://news.bloomberglaw.com/bankruptcy-law/saks-global-emerges-from-bankruptcy-as-exemplar-luxury-group</t>
  </si>
  <si>
    <t xml:space="preserve">Competitor: Saks online; Route unverified, check before sending</t>
  </si>
  <si>
    <t xml:space="preserve">Selfridges</t>
  </si>
  <si>
    <t xml:space="preserve">London luxury department store</t>
  </si>
  <si>
    <t xml:space="preserve">Skimlinks or Sovrn per aggregators</t>
  </si>
  <si>
    <t xml:space="preserve">https://www.selfridges.com</t>
  </si>
  <si>
    <t xml:space="preserve">Partial competitor: sells luxury online; Route unverified, check before sending</t>
  </si>
  <si>
    <t xml:space="preserve">Magazines, trade titles, newsletters, podcasts and expert-source platforms for the DFB for [Outlet] pitch</t>
  </si>
  <si>
    <t xml:space="preserve">Business of Fashion</t>
  </si>
  <si>
    <t xml:space="preserve">contributors@businessoffashion.com, subject Op-Ed, 700 to 1,000 words, exclusive</t>
  </si>
  <si>
    <t xml:space="preserve">https://www.businessoffashion.com/contact-us/</t>
  </si>
  <si>
    <t xml:space="preserve">The B2B reference for fashion business analysis and data</t>
  </si>
  <si>
    <t xml:space="preserve">Runway tagging against Google search, which SS27 trends shoppers actually searched for</t>
  </si>
  <si>
    <t xml:space="preserve">Contact page asks for targeted, concise pitches and warns they can't reply to all</t>
  </si>
  <si>
    <t xml:space="preserve">https://www.businessoffashion.com/contact</t>
  </si>
  <si>
    <t xml:space="preserve">No op-ed process found, keep the pitch short and data-first</t>
  </si>
  <si>
    <t xml:space="preserve">Drapers</t>
  </si>
  <si>
    <t xml:space="preserve">Features: Emma.finamore@emap.com, news tips: chloe.mills@emap.com, editor: jill.geoghegan@emap.com</t>
  </si>
  <si>
    <t xml:space="preserve">https://www.drapersonline.com/contact-us</t>
  </si>
  <si>
    <t xml:space="preserve">UK fashion retail trade, your London plus Zara, YNAP background is exactly their reader</t>
  </si>
  <si>
    <t xml:space="preserve">Which of this season's trends are worth buying into, according to the data</t>
  </si>
  <si>
    <t xml:space="preserve">Contact page lists a fashion editor and a general drapers@emap.com address, but sources disagree on who the current editor is</t>
  </si>
  <si>
    <t xml:space="preserve">Check the named editor on the live page before sending</t>
  </si>
  <si>
    <t xml:space="preserve">Grazia UK</t>
  </si>
  <si>
    <t xml:space="preserve">feedback@graziamagazine.co.uk (editorial enquiries)</t>
  </si>
  <si>
    <t xml:space="preserve">https://graziadaily.co.uk/contact/</t>
  </si>
  <si>
    <t xml:space="preserve">Features desk commissions zeitgeisty trend pieces, and has a new editor this month</t>
  </si>
  <si>
    <t xml:space="preserve">Trend or not? A data verdict on one viral item</t>
  </si>
  <si>
    <t xml:space="preserve">No pitch address found, new editor Frances Hedges from October 2026 per Bauer's appointment notice</t>
  </si>
  <si>
    <t xml:space="preserve">https://www.inpublishing.co.uk</t>
  </si>
  <si>
    <t xml:space="preserve">New editor means new commissioning, good timing, LinkedIn route. Fashion team on the About page includes the Style Director and Senior Fashion Features Editor, no emails published</t>
  </si>
  <si>
    <t xml:space="preserve">TheIndustry.fashion</t>
  </si>
  <si>
    <t xml:space="preserve">press@theindustry.fashion, team page lists the editor-in-chief and news editor</t>
  </si>
  <si>
    <t xml:space="preserve">https://www.theindustry.fashion/the-team/</t>
  </si>
  <si>
    <t xml:space="preserve">UK trade title with its own data products, takes guest content from people working in the industry</t>
  </si>
  <si>
    <t xml:space="preserve">A seasonal guest column on runway versus search data</t>
  </si>
  <si>
    <t xml:space="preserve">Guest content accepted from industry professionals, policy found on sister site TheIndustry.beauty</t>
  </si>
  <si>
    <t xml:space="preserve">https://theindustry.beauty/editorial-policy</t>
  </si>
  <si>
    <t xml:space="preserve">Co-founder Lauretta Roberts is ex-Drapers and ex-WGSN</t>
  </si>
  <si>
    <t xml:space="preserve">Vogue Business</t>
  </si>
  <si>
    <t xml:space="preserve">No pitch inbox published, go via named editors on LinkedIn</t>
  </si>
  <si>
    <t xml:space="preserve">https://www.voguebusiness.com</t>
  </si>
  <si>
    <t xml:space="preserve">Quotes data analysts and has featured trend-data newsletters before</t>
  </si>
  <si>
    <t xml:space="preserve">Expert source on how far runway colour indexes match search demand</t>
  </si>
  <si>
    <t xml:space="preserve">Only general addresses found (contact@ and feedback@voguebusiness.com), and from a staging copy of their contact page</t>
  </si>
  <si>
    <t xml:space="preserve">Better route is probably LinkedIn to a named editor</t>
  </si>
  <si>
    <t xml:space="preserve">Who What Wear UK</t>
  </si>
  <si>
    <t xml:space="preserve">pr@futurenet.com (Future plc, interviews and press requests)</t>
  </si>
  <si>
    <t xml:space="preserve">https://www.whowhatwear.com/about-who-what-wear</t>
  </si>
  <si>
    <t xml:space="preserve">Already runs round-ups surveying Substack writers on trends</t>
  </si>
  <si>
    <t xml:space="preserve">Ask to be included in their next Substack trend survey</t>
  </si>
  <si>
    <t xml:space="preserve">No pitch route found, DM the writer of the Substack round-up</t>
  </si>
  <si>
    <t xml:space="preserve">https://www.whowhatwear.com/fashion/substack-fall-2026-fashion-trends</t>
  </si>
  <si>
    <t xml:space="preserve">Easy warm entry, they're already looking for people like you</t>
  </si>
  <si>
    <t xml:space="preserve">Dazed</t>
  </si>
  <si>
    <t xml:space="preserve">pr@dazedmedia.com, partnerships@dazedmedia.com</t>
  </si>
  <si>
    <t xml:space="preserve">https://www.dazeddigital.com/contact</t>
  </si>
  <si>
    <t xml:space="preserve">Has an official pitching guide and a culture-first audience</t>
  </si>
  <si>
    <t xml:space="preserve">Why TikTok micro-trends don't show up in search data</t>
  </si>
  <si>
    <t xml:space="preserve">Subject line PITCH, 300 words max, addressed to the relevant section editor</t>
  </si>
  <si>
    <t xml:space="preserve">https://www.dazeddigital.com</t>
  </si>
  <si>
    <t xml:space="preserve">For editorial pitches, find the section editor's name on the contact page. Put PITCH in the subject and keep it under 300 words</t>
  </si>
  <si>
    <t xml:space="preserve">Glossy</t>
  </si>
  <si>
    <t xml:space="preserve">Zofia Zwieglinska, fashion reporter: zofia@glossy.co, Danny Parisi, senior fashion reporter: danny@glossy.co</t>
  </si>
  <si>
    <t xml:space="preserve">https://www.glossy.co/masthead/</t>
  </si>
  <si>
    <t xml:space="preserve">Fashion business title that values data-driven analysis, its podcast also takes trend guests</t>
  </si>
  <si>
    <t xml:space="preserve">Data piece on trend lifecycles</t>
  </si>
  <si>
    <t xml:space="preserve">Masthead on the About page, no pitch inbox found</t>
  </si>
  <si>
    <t xml:space="preserve">https://www.glossy.co/about-us</t>
  </si>
  <si>
    <t xml:space="preserve">Both addresses are printed in their own articles, Zofia's Luxury Briefing asks for tips</t>
  </si>
  <si>
    <t xml:space="preserve">i-D</t>
  </si>
  <si>
    <t xml:space="preserve">pitches@i-d.co (subject PITCH: headline)</t>
  </si>
  <si>
    <t xml:space="preserve">https://i-d.co/article/how-to-pitch-to-i-d/</t>
  </si>
  <si>
    <t xml:space="preserve">Explicitly asks for pitches backed by pre-reported stats</t>
  </si>
  <si>
    <t xml:space="preserve">Internet trend versus runway reality, backed by search data</t>
  </si>
  <si>
    <t xml:space="preserve">pitches@i-d.co with subject PITCH, three to four paragraphs</t>
  </si>
  <si>
    <t xml:space="preserve">The guide is about six years old. Address only confirmed on a third-party repost</t>
  </si>
  <si>
    <t xml:space="preserve">London Standard</t>
  </si>
  <si>
    <t xml:space="preserve">London daily, natural home for a London Fashion Week data read-out</t>
  </si>
  <si>
    <t xml:space="preserve">LFW data read-out</t>
  </si>
  <si>
    <t xml:space="preserve">Fashion editor listed on Muck Rack (undated), no email found</t>
  </si>
  <si>
    <t xml:space="preserve">https://muckrack.com/joe-bromley</t>
  </si>
  <si>
    <t xml:space="preserve">Confirm the editor is still in post</t>
  </si>
  <si>
    <t xml:space="preserve">Modaes</t>
  </si>
  <si>
    <t xml:space="preserve">Spain's main fashion business outlet, fits your Inditex background</t>
  </si>
  <si>
    <t xml:space="preserve">Spanish-language tribuna on data in trend forecasting</t>
  </si>
  <si>
    <t xml:space="preserve">Newsroom page with phone number, opinion pieces seem to be by invitation</t>
  </si>
  <si>
    <t xml:space="preserve">https://www.modaes.com/redaccion</t>
  </si>
  <si>
    <t xml:space="preserve">Spanish route, LinkedIn to an editor may work better than the phone</t>
  </si>
  <si>
    <t xml:space="preserve">S Moda (El País)</t>
  </si>
  <si>
    <t xml:space="preserve">Spain's leading fashion supplement</t>
  </si>
  <si>
    <t xml:space="preserve">Zara-trained analyst on which trends actually hold up</t>
  </si>
  <si>
    <t xml:space="preserve">No public route found</t>
  </si>
  <si>
    <t xml:space="preserve">https://smoda.elpais.com</t>
  </si>
  <si>
    <t xml:space="preserve">LinkedIn to a fashion editor</t>
  </si>
  <si>
    <t xml:space="preserve">Stylist</t>
  </si>
  <si>
    <t xml:space="preserve">Official freelance guide, reader-friendly trend coverage</t>
  </si>
  <si>
    <t xml:space="preserve">The trends you'll actually still wear next year, data-backed</t>
  </si>
  <si>
    <t xml:space="preserve">digital.commissions@stylist.co.uk for web pitches</t>
  </si>
  <si>
    <t xml:space="preserve">https://www.stylist.co.uk</t>
  </si>
  <si>
    <t xml:space="preserve">Guide is about four years old</t>
  </si>
  <si>
    <t xml:space="preserve">WWD</t>
  </si>
  <si>
    <t xml:space="preserve">press@wwd.com, plus a tip form</t>
  </si>
  <si>
    <t xml:space="preserve">https://wwd.com/news-tip/</t>
  </si>
  <si>
    <t xml:space="preserve">Trade daily that quotes experts in runway season round-ups</t>
  </si>
  <si>
    <t xml:space="preserve">Data comment for their runway-season round-ups</t>
  </si>
  <si>
    <t xml:space="preserve">Editorial email button on the contact page, press@wwd.com on the About page</t>
  </si>
  <si>
    <t xml:space="preserve">https://wwd.com/contact-us/</t>
  </si>
  <si>
    <t xml:space="preserve">Fashionista</t>
  </si>
  <si>
    <t xml:space="preserve">tips@fashionista.com (put pitch in the subject)</t>
  </si>
  <si>
    <t xml:space="preserve">https://fashionista.com/page/contact</t>
  </si>
  <si>
    <t xml:space="preserve">Business-leaning consumer title that pays freelancers</t>
  </si>
  <si>
    <t xml:space="preserve">Reported piece on how trend forecasting uses search data</t>
  </si>
  <si>
    <t xml:space="preserve">Only old freelance-listing addresses found, nothing on the site itself</t>
  </si>
  <si>
    <t xml:space="preserve">https://fashionista.com</t>
  </si>
  <si>
    <t xml:space="preserve">Confirm the current editor before pitching</t>
  </si>
  <si>
    <t xml:space="preserve">Hypebeast</t>
  </si>
  <si>
    <t xml:space="preserve">Streetwear and culture data stories</t>
  </si>
  <si>
    <t xml:space="preserve">Menswear runway versus search data</t>
  </si>
  <si>
    <t xml:space="preserve">editorial@hypebeast.com, labelled for corrections and inquiries rather than tips</t>
  </si>
  <si>
    <t xml:space="preserve">https://hypebeast.com</t>
  </si>
  <si>
    <t xml:space="preserve">Refinery29 UK</t>
  </si>
  <si>
    <t xml:space="preserve">Fashion section uses freelancers</t>
  </si>
  <si>
    <t xml:space="preserve">Data take on a viral aesthetic</t>
  </si>
  <si>
    <t xml:space="preserve">Only old editor addresses found (2022)</t>
  </si>
  <si>
    <t xml:space="preserve">https://www.refinery29.com/en-gb</t>
  </si>
  <si>
    <t xml:space="preserve">Telva / Harper's Bazaar ES / ELLE ES</t>
  </si>
  <si>
    <t xml:space="preserve">Spanish glossies</t>
  </si>
  <si>
    <t xml:space="preserve">Spanish-language trend verdicts</t>
  </si>
  <si>
    <t xml:space="preserve">No public editorial email found for any of them</t>
  </si>
  <si>
    <t xml:space="preserve">https://www.telva.com</t>
  </si>
  <si>
    <t xml:space="preserve">LinkedIn</t>
  </si>
  <si>
    <t xml:space="preserve">The Guardian fashion</t>
  </si>
  <si>
    <t xml:space="preserve">National fashion desk with a broad reach</t>
  </si>
  <si>
    <t xml:space="preserve">Data column on what's actually trending this season</t>
  </si>
  <si>
    <t xml:space="preserve">No fashion desk email found, only confidential-tips channels (the wrong route)</t>
  </si>
  <si>
    <t xml:space="preserve">https://www.theguardian.com/fashion</t>
  </si>
  <si>
    <t xml:space="preserve">LinkedIn or X/Bluesky DM</t>
  </si>
  <si>
    <t xml:space="preserve">Vogue España</t>
  </si>
  <si>
    <t xml:space="preserve">Prestige Spanish title</t>
  </si>
  <si>
    <t xml:space="preserve">Which trends hold up, data verdict in Spanish</t>
  </si>
  <si>
    <t xml:space="preserve">https://www.vogue.es</t>
  </si>
  <si>
    <t xml:space="preserve">POST-TASTE (Trina Maraczi)</t>
  </si>
  <si>
    <t xml:space="preserve">Newsletter</t>
  </si>
  <si>
    <t xml:space="preserve">Writes trend reports using runway and resale data</t>
  </si>
  <si>
    <t xml:space="preserve">Cross-post or recommendation swap</t>
  </si>
  <si>
    <t xml:space="preserve">Substack DM</t>
  </si>
  <si>
    <t xml:space="preserve">https://posttastebytrina.substack.com</t>
  </si>
  <si>
    <t xml:space="preserve">Style Analytics (Molly Rooyakkers)</t>
  </si>
  <si>
    <t xml:space="preserve">Your closest peer, data-driven trend research, has been featured in Vogue Business</t>
  </si>
  <si>
    <t xml:space="preserve">Joint post comparing runway tags with search data, or a recommendation swap</t>
  </si>
  <si>
    <t xml:space="preserve">Substack DM or recommendation swap</t>
  </si>
  <si>
    <t xml:space="preserve">https://styleanalytics.substack.com/about</t>
  </si>
  <si>
    <t xml:space="preserve">Back Row (Amy Odell)</t>
  </si>
  <si>
    <t xml:space="preserve">Large, business-leaning fashion newsletter, now on beehiiv at backrow.net</t>
  </si>
  <si>
    <t xml:space="preserve">Offer data for one of her Q&amp;As</t>
  </si>
  <si>
    <t xml:space="preserve">No guest route found</t>
  </si>
  <si>
    <t xml:space="preserve">https://backrow.net</t>
  </si>
  <si>
    <t xml:space="preserve">Moved off Substack</t>
  </si>
  <si>
    <t xml:space="preserve">Big Style, CNN (Rachel Tashjian)</t>
  </si>
  <si>
    <t xml:space="preserve">Formerly Opulent Tips, now CNN's fashion newsletter</t>
  </si>
  <si>
    <t xml:space="preserve">Source pitch with one strong data finding</t>
  </si>
  <si>
    <t xml:space="preserve">No route found</t>
  </si>
  <si>
    <t xml:space="preserve">https://cnnpressroom.blogs.cnn.com</t>
  </si>
  <si>
    <t xml:space="preserve">Line Sheet, Puck (Lauren Sherman)</t>
  </si>
  <si>
    <t xml:space="preserve">Fashion business intel newsletter</t>
  </si>
  <si>
    <t xml:space="preserve">Exclusive data nugget as a tip</t>
  </si>
  <si>
    <t xml:space="preserve">https://puck.news/line-sheet</t>
  </si>
  <si>
    <t xml:space="preserve">Shop Rat (Emilia Petrarca)</t>
  </si>
  <si>
    <t xml:space="preserve">Has run Substack fashion week panels</t>
  </si>
  <si>
    <t xml:space="preserve">Data versus what people actually wear on the street, or a panel spot</t>
  </si>
  <si>
    <t xml:space="preserve">https://emiliapetrarca.substack.com/about</t>
  </si>
  <si>
    <t xml:space="preserve">Thank You For Your Order (Gijs Veening)</t>
  </si>
  <si>
    <t xml:space="preserve">Small newsletter featured in FashionUnited's roundup, so there's already a shared link</t>
  </si>
  <si>
    <t xml:space="preserve">Recommendation swap</t>
  </si>
  <si>
    <t xml:space="preserve">https://substack.com</t>
  </si>
  <si>
    <t xml:space="preserve">Small audience, quick easy yes</t>
  </si>
  <si>
    <t xml:space="preserve">BoF Podcast / The Debrief</t>
  </si>
  <si>
    <t xml:space="preserve">Podcast</t>
  </si>
  <si>
    <t xml:space="preserve">Business analysis podcast, listed as accepting guests</t>
  </si>
  <si>
    <t xml:space="preserve">Segment on how to validate a trend with data</t>
  </si>
  <si>
    <t xml:space="preserve">podcast@businessoffashion.com for speaker ideas, per show notes (not confirmed on BoF's own site)</t>
  </si>
  <si>
    <t xml:space="preserve">https://www.businessoffashion.com</t>
  </si>
  <si>
    <t xml:space="preserve">The Glossy Podcast</t>
  </si>
  <si>
    <t xml:space="preserve">Weekly, active through 2026, regularly has trend guests</t>
  </si>
  <si>
    <t xml:space="preserve">Is it a trend? The data says...</t>
  </si>
  <si>
    <t xml:space="preserve">No booking route found, use the Glossy masthead or LinkedIn</t>
  </si>
  <si>
    <t xml:space="preserve">Beyond Fashion Business</t>
  </si>
  <si>
    <t xml:space="preserve">Listed as accepting guests, booking-call link in episode notes</t>
  </si>
  <si>
    <t xml:space="preserve">How data feeds buying decisions</t>
  </si>
  <si>
    <t xml:space="preserve">Booking link in episode notes</t>
  </si>
  <si>
    <t xml:space="preserve">https://rephonic.com/podcasts/the-future-of-fashion-business</t>
  </si>
  <si>
    <t xml:space="preserve">Drapers Talks</t>
  </si>
  <si>
    <t xml:space="preserve">UK trade podcast with 2026 episodes</t>
  </si>
  <si>
    <t xml:space="preserve">UK retail trend data</t>
  </si>
  <si>
    <t xml:space="preserve">No route, use the Drapers editorial contacts</t>
  </si>
  <si>
    <t xml:space="preserve">https://www.drapersonline.com</t>
  </si>
  <si>
    <t xml:space="preserve">Spanish fashion podcasts (The Fashion Korner, Está de Moda)</t>
  </si>
  <si>
    <t xml:space="preserve">Spanish-language video podcasts, good for interviews in Spanish</t>
  </si>
  <si>
    <t xml:space="preserve">Spanish-language guest spot on trend data</t>
  </si>
  <si>
    <t xml:space="preserve">No route found, DM on Instagram</t>
  </si>
  <si>
    <t xml:space="preserve">https://podcast.feedspot.com/podcasts_moda_espana/</t>
  </si>
  <si>
    <t xml:space="preserve">Articles of Interest (Avery Trufelman)</t>
  </si>
  <si>
    <t xml:space="preserve">Garment-history episodes, highly curated</t>
  </si>
  <si>
    <t xml:space="preserve">Search-data angle for a single-item episode</t>
  </si>
  <si>
    <t xml:space="preserve">No guest route, low odds</t>
  </si>
  <si>
    <t xml:space="preserve">https://articlesofinterest.substack.com</t>
  </si>
  <si>
    <t xml:space="preserve">#journorequest on X and Bluesky</t>
  </si>
  <si>
    <t xml:space="preserve">Expert-source platform</t>
  </si>
  <si>
    <t xml:space="preserve">Free, mostly UK-based journalist requests, and journalists are moving to Bluesky</t>
  </si>
  <si>
    <t xml:space="preserve">Reply to fashion and retail requests</t>
  </si>
  <si>
    <t xml:space="preserve">Search the hashtag daily or set an alert</t>
  </si>
  <si>
    <t xml:space="preserve">https://bsky.app/search?q=%23journorequest</t>
  </si>
  <si>
    <t xml:space="preserve">HARO (Featured.com)</t>
  </si>
  <si>
    <t xml:space="preserve">Relaunched free for sources in 2025, journalists post requests daily</t>
  </si>
  <si>
    <t xml:space="preserve">Answer fashion and retail trend requests as a data expert</t>
  </si>
  <si>
    <t xml:space="preserve">Free sign-up as a source</t>
  </si>
  <si>
    <t xml:space="preserve">https://www.helpareporter.com</t>
  </si>
  <si>
    <t xml:space="preserve">Qwoted</t>
  </si>
  <si>
    <t xml:space="preserve">Active platform where reporters find vetted experts</t>
  </si>
  <si>
    <t xml:space="preserve">Expert profile as fashion trend data analyst</t>
  </si>
  <si>
    <t xml:space="preserve">Sign up, free tier for experts unclear</t>
  </si>
  <si>
    <t xml:space="preserve">https://www.qwoted.com</t>
  </si>
  <si>
    <t xml:space="preserve">Source of Sources</t>
  </si>
  <si>
    <t xml:space="preserve">Free email digests of journalist requests</t>
  </si>
  <si>
    <t xml:space="preserve">Same as HARO</t>
  </si>
  <si>
    <t xml:space="preserve">Sign up for the digest</t>
  </si>
  <si>
    <t xml:space="preserve">https://www.sourceofsources.com</t>
  </si>
  <si>
    <t xml:space="preserve">Official page not confirmed</t>
  </si>
  <si>
    <t xml:space="preserve">Data companies to partner or co-publish with, and stages to speak on</t>
  </si>
  <si>
    <t xml:space="preserve">Lyst (Lyst Index)</t>
  </si>
  <si>
    <t xml:space="preserve">Data partner</t>
  </si>
  <si>
    <t xml:space="preserve">press@lyst.com, plus a Lyst data-request page</t>
  </si>
  <si>
    <t xml:space="preserve">https://www.lyst.com/about/press/</t>
  </si>
  <si>
    <t xml:space="preserve">You went to their LFW breakfast, and their Q2 2026 Index named Massimo Dutti the biggest climber</t>
  </si>
  <si>
    <t xml:space="preserve">Cite or co-publish around the Index, request Lyst data for a Trend Autopsy</t>
  </si>
  <si>
    <t xml:space="preserve">No public route found, follow up with your contact from the breakfast or LinkedIn</t>
  </si>
  <si>
    <t xml:space="preserve">https://www.lyst.com/the-lyst-index/</t>
  </si>
  <si>
    <t xml:space="preserve">Partial competitor: shopping aggregator; Route unverified, check before sending</t>
  </si>
  <si>
    <t xml:space="preserve">Owned by Zozo since 2025</t>
  </si>
  <si>
    <t xml:space="preserve">Pinterest</t>
  </si>
  <si>
    <t xml:space="preserve">press@pinterest.com</t>
  </si>
  <si>
    <t xml:space="preserve">https://newsroom.pinterest.com/en-gb/contact/</t>
  </si>
  <si>
    <t xml:space="preserve">You met the Pinterest UK fashion team at their LFW salon, and Pinterest data already feeds DFB</t>
  </si>
  <si>
    <t xml:space="preserve">Commentary on Pinterest Predicts, creator programmes, a Pinterest data edition of Stop Calling Everything a Trend</t>
  </si>
  <si>
    <t xml:space="preserve">press@pinterest.com (shown on the NL newsroom page), and your warm contact from the event</t>
  </si>
  <si>
    <t xml:space="preserve">https://newsroom.pinterest.com/nl/contact/</t>
  </si>
  <si>
    <t xml:space="preserve">Warm lead, follow up with whoever you met at the event first</t>
  </si>
  <si>
    <t xml:space="preserve">Trendalytics</t>
  </si>
  <si>
    <t xml:space="preserve">press@trendalytics.co, general hello@trendalytics.co</t>
  </si>
  <si>
    <t xml:space="preserve">https://trendalytics.co/news</t>
  </si>
  <si>
    <t xml:space="preserve">Already a core DFB source for the Monthly Signal Check</t>
  </si>
  <si>
    <t xml:space="preserve">Co-branded monthly data drop, or a creator or analyst data licence</t>
  </si>
  <si>
    <t xml:space="preserve">About page lists a VP Marketing and Communications for press, email not visible in what we could read</t>
  </si>
  <si>
    <t xml:space="preserve">https://trendalytics.co/about</t>
  </si>
  <si>
    <t xml:space="preserve">Owned by Verishop since 2024</t>
  </si>
  <si>
    <t xml:space="preserve">WGSN</t>
  </si>
  <si>
    <t xml:space="preserve">press@wgsn.com</t>
  </si>
  <si>
    <t xml:space="preserve">https://www.wgsn.com/en/wgsn/newsroom</t>
  </si>
  <si>
    <t xml:space="preserve">The trend authority, and its new Catwalks AI Dashboard (September 2026) sits right next to your Runway Decode work</t>
  </si>
  <si>
    <t xml:space="preserve">Pitch your search-validation method as a does-the-runway-hold-up commentary, or ask for dashboard access</t>
  </si>
  <si>
    <t xml:space="preserve">press@wgsn.com, or the global fashion press contact named on the press page, plus a media inquiry form for speaking</t>
  </si>
  <si>
    <t xml:space="preserve">https://www.wgsn.com/en/press/</t>
  </si>
  <si>
    <t xml:space="preserve">Their newsroom invites requests for expert commentary and data validation</t>
  </si>
  <si>
    <t xml:space="preserve">EDITED</t>
  </si>
  <si>
    <t xml:space="preserve">press@edited.com</t>
  </si>
  <si>
    <t xml:space="preserve">https://edited.com/contact-us/</t>
  </si>
  <si>
    <t xml:space="preserve">Retail pricing and assortment data adds a what-actually-landed-in-stores layer</t>
  </si>
  <si>
    <t xml:space="preserve">Runway trend versus what retailers actually stocked</t>
  </si>
  <si>
    <t xml:space="preserve">Press@edited.com, from its own press pages</t>
  </si>
  <si>
    <t xml:space="preserve">https://edited.com</t>
  </si>
  <si>
    <t xml:space="preserve">Check: Farfetch may be a client</t>
  </si>
  <si>
    <t xml:space="preserve">Heuritech</t>
  </si>
  <si>
    <t xml:space="preserve">press@heuritech.com</t>
  </si>
  <si>
    <t xml:space="preserve">https://heuritech.com/press/</t>
  </si>
  <si>
    <t xml:space="preserve">AI image-recognition trend forecasting, very close to your runway tagging</t>
  </si>
  <si>
    <t xml:space="preserve">Ask for data to validate a DFB trend, or co-author a piece</t>
  </si>
  <si>
    <t xml:space="preserve">press@heuritech.com, their newsroom says they provide market data and schedule interviews</t>
  </si>
  <si>
    <t xml:space="preserve">Check: may supply Farfetch competitors</t>
  </si>
  <si>
    <t xml:space="preserve">Now part of Luxurynsight Group</t>
  </si>
  <si>
    <t xml:space="preserve">Launchmetrics (MIV)</t>
  </si>
  <si>
    <t xml:space="preserve">Katherine Knight, VP Brand and Communications (email printed in the release), general info@launchmetrics.com</t>
  </si>
  <si>
    <t xml:space="preserve">https://www.launchmetrics.com/newsroom/launchmetrics-10-years</t>
  </si>
  <si>
    <t xml:space="preserve">Its media impact value data is a ready-made press-resonance check for your In The Press callouts</t>
  </si>
  <si>
    <t xml:space="preserve">Pair MIV with DFB runway shares for a season</t>
  </si>
  <si>
    <t xml:space="preserve">No public route found, LinkedIn</t>
  </si>
  <si>
    <t xml:space="preserve">https://launchmetrics.com/media-impact-value-usage</t>
  </si>
  <si>
    <t xml:space="preserve">Spate</t>
  </si>
  <si>
    <t xml:space="preserve">Search-led trend data, the closest match to your Google Trends method</t>
  </si>
  <si>
    <t xml:space="preserve">Data partnership, strongest on beauty</t>
  </si>
  <si>
    <t xml:space="preserve">Book-a-call link on the site only</t>
  </si>
  <si>
    <t xml:space="preserve">https://spate.nyc</t>
  </si>
  <si>
    <t xml:space="preserve">Tagwalk</t>
  </si>
  <si>
    <t xml:space="preserve">info@tag-walk.com</t>
  </si>
  <si>
    <t xml:space="preserve">https://www.tag-walk.com/en/page/contact</t>
  </si>
  <si>
    <t xml:space="preserve">Runway keyword search engine, a natural source for runway tagging</t>
  </si>
  <si>
    <t xml:space="preserve">Data partnership or guest analysis</t>
  </si>
  <si>
    <t xml:space="preserve">support@tag-walk.com or the request-a-call form, no press address found</t>
  </si>
  <si>
    <t xml:space="preserve">https://www.tag-walk.com/en/brand-visibility</t>
  </si>
  <si>
    <t xml:space="preserve">ThredUp / Depop / Vinted resale data</t>
  </si>
  <si>
    <t xml:space="preserve">Resale data gives you a counter-trend angle</t>
  </si>
  <si>
    <t xml:space="preserve">What resale says about this season's trends</t>
  </si>
  <si>
    <t xml:space="preserve">ThredUp media@thredup.com (2025 release, may be dated), Depop newsroom, Vinted via LinkedIn</t>
  </si>
  <si>
    <t xml:space="preserve">https://news.depop.com</t>
  </si>
  <si>
    <t xml:space="preserve">BoF VOICES</t>
  </si>
  <si>
    <t xml:space="preserve">Events &amp; speaking</t>
  </si>
  <si>
    <t xml:space="preserve">The top-tier industry thinking forum (2026 edition 1 to 4 December)</t>
  </si>
  <si>
    <t xml:space="preserve">Speaker pitch for 2027</t>
  </si>
  <si>
    <t xml:space="preserve">Speaking enquiries contact listed on the VOICES 2026 page</t>
  </si>
  <si>
    <t xml:space="preserve">https://pages.businessoffashion.com/voices-2026/</t>
  </si>
  <si>
    <t xml:space="preserve">Invite-only, so a long game</t>
  </si>
  <si>
    <t xml:space="preserve">British Fashion Council / LFW</t>
  </si>
  <si>
    <t xml:space="preserve">Creator or press accreditation for next season</t>
  </si>
  <si>
    <t xml:space="preserve">Apply for February 2027 accreditation</t>
  </si>
  <si>
    <t xml:space="preserve">Press and buyers portal</t>
  </si>
  <si>
    <t xml:space="preserve">https://londonfashionweek.co.uk/trade</t>
  </si>
  <si>
    <t xml:space="preserve">Retail Week events</t>
  </si>
  <si>
    <t xml:space="preserve">Retail-data audience, LIVE x The Grocer on 18 March 2027 in London</t>
  </si>
  <si>
    <t xml:space="preserve">Panel on trend data versus buying reality</t>
  </si>
  <si>
    <t xml:space="preserve">Speaker contact listed on the events page</t>
  </si>
  <si>
    <t xml:space="preserve">https://www.retail-week.com/events</t>
  </si>
  <si>
    <t xml:space="preserve">The Modems</t>
  </si>
  <si>
    <t xml:space="preserve">You were at their Taking Taste Offline salon with Pinterest</t>
  </si>
  <si>
    <t xml:space="preserve">Follow up with your contact from the event about future salons or panels</t>
  </si>
  <si>
    <t xml:space="preserve">Your contact from the event</t>
  </si>
  <si>
    <t xml:space="preserve">Couldn't find a public page, use the handle you know</t>
  </si>
  <si>
    <t xml:space="preserve">Data Science London Meetup</t>
  </si>
  <si>
    <t xml:space="preserve">Community data talks in London</t>
  </si>
  <si>
    <t xml:space="preserve">Talk submission</t>
  </si>
  <si>
    <t xml:space="preserve">Sessionize CFP (2026 round closed 20 September)</t>
  </si>
  <si>
    <t xml:space="preserve">https://sessionize.com/data-science-london-meetup/</t>
  </si>
  <si>
    <t xml:space="preserve">Fashion Decoded (Mapp)</t>
  </si>
  <si>
    <t xml:space="preserve">AI and data in fashion retail, Pinterest UK and Google were on stage in 2026</t>
  </si>
  <si>
    <t xml:space="preserve">No speaker route found</t>
  </si>
  <si>
    <t xml:space="preserve">https://mapp.com/cmp/fashion-decoded-2026-replay-hub/</t>
  </si>
  <si>
    <t xml:space="preserve">London College of Fashion, Fashion Business School</t>
  </si>
  <si>
    <t xml:space="preserve">Students in buying, merchandising and analytics</t>
  </si>
  <si>
    <t xml:space="preserve">Guest talk at Industry Day</t>
  </si>
  <si>
    <t xml:space="preserve">No direct route, LinkedIn to the course leaders</t>
  </si>
  <si>
    <t xml:space="preserve">https://www.arts.ac.uk/colleges/london-college-of-fashion/stories/fashion-business-school-industry-day</t>
  </si>
  <si>
    <t xml:space="preserve">PyData London</t>
  </si>
  <si>
    <t xml:space="preserve">A fashion-data talk would stand out at a data conference</t>
  </si>
  <si>
    <t xml:space="preserve">Talk on runway tagging plus search validation</t>
  </si>
  <si>
    <t xml:space="preserve">CFP, the 2026 one closed in February, watch for 2027</t>
  </si>
  <si>
    <t xml:space="preserve">https://pretalx.com/pydata-london-2026/cfp</t>
  </si>
  <si>
    <t xml:space="preserve">Women in Data UK</t>
  </si>
  <si>
    <t xml:space="preserve">Big network of women in data, fits your profile exactly</t>
  </si>
  <si>
    <t xml:space="preserve">Speaker or panel</t>
  </si>
  <si>
    <t xml:space="preserve">No 2026 speaker call found, LinkedIn</t>
  </si>
  <si>
    <t xml:space="preserve">https://womenindata.co.uk</t>
  </si>
  <si>
    <t xml:space="preserve">Awards, fashion weeks, conferences and creator events, October 2026 to end of 2027, sorted by date</t>
  </si>
  <si>
    <t xml:space="preserve">Month</t>
  </si>
  <si>
    <t xml:space="preserve">Starts</t>
  </si>
  <si>
    <t xml:space="preserve">Ends</t>
  </si>
  <si>
    <t xml:space="preserve">Event</t>
  </si>
  <si>
    <t xml:space="preserve">City</t>
  </si>
  <si>
    <t xml:space="preserve">Deadline</t>
  </si>
  <si>
    <t xml:space="preserve">Dates confirmed?</t>
  </si>
  <si>
    <t xml:space="preserve">When (if not confirmed)</t>
  </si>
  <si>
    <t xml:space="preserve">How to get in</t>
  </si>
  <si>
    <t xml:space="preserve">Oct 2026</t>
  </si>
  <si>
    <t xml:space="preserve">WWD Honors</t>
  </si>
  <si>
    <t xml:space="preserve">Awards</t>
  </si>
  <si>
    <t xml:space="preserve">New York</t>
  </si>
  <si>
    <t xml:space="preserve">Yes</t>
  </si>
  <si>
    <t xml:space="preserve">Invite only, approach the WWD and Fairchild Media events team</t>
  </si>
  <si>
    <t xml:space="preserve">https://www.webwire.com/ViewPressRel.asp?aId=358636</t>
  </si>
  <si>
    <t xml:space="preserve">Bernard Arnault receives the John B. Fairchild Honor this year</t>
  </si>
  <si>
    <t xml:space="preserve">Nov 2026</t>
  </si>
  <si>
    <t xml:space="preserve">Harper's Bazaar UK Women of the Year</t>
  </si>
  <si>
    <t xml:space="preserve">London</t>
  </si>
  <si>
    <t xml:space="preserve">No</t>
  </si>
  <si>
    <t xml:space="preserve">Usually early November (6 Nov in 2025, at Claridge's), 2026 date not found</t>
  </si>
  <si>
    <t xml:space="preserve">Invite only, Hearst UK and Bazaar events or PR</t>
  </si>
  <si>
    <t xml:space="preserve">https://www.fipp.com/news/harpers-bazaars-women-of-the-year-awards-return-for-2025/</t>
  </si>
  <si>
    <t xml:space="preserve">British GQ Men of the Year</t>
  </si>
  <si>
    <t xml:space="preserve">Usually November (19 Nov in 2024), 2026 date not found</t>
  </si>
  <si>
    <t xml:space="preserve">Invite only, Condé Nast UK events or PR</t>
  </si>
  <si>
    <t xml:space="preserve">https://inpublishing.co.uk/articles/british-gq-men-of-the-year-returns-24744</t>
  </si>
  <si>
    <t xml:space="preserve">Fashion Trust Arabia Awards</t>
  </si>
  <si>
    <t xml:space="preserve">Doha</t>
  </si>
  <si>
    <t xml:space="preserve">Usually November (22 Nov in 2025), 2026 date not found</t>
  </si>
  <si>
    <t xml:space="preserve">Invite only, approach the FTA press office</t>
  </si>
  <si>
    <t xml:space="preserve">https://fashionunited.uk/news/fashion/fashion-trust-arabia-names-2025-prize-winners-in-qatar/2025120185142</t>
  </si>
  <si>
    <t xml:space="preserve">CFDA Fashion Awards</t>
  </si>
  <si>
    <t xml:space="preserve">Invite only or brand tables, approach CFDA comms or a sponsoring brand's PR</t>
  </si>
  <si>
    <t xml:space="preserve">https://cfda.com/news/save-the-date-the-cfda-fashion-awards-presented-by-amazon-fashion-are-set-for-nov-2/</t>
  </si>
  <si>
    <t xml:space="preserve">At the American Museum of Natural History, hosted by Keke Palmer</t>
  </si>
  <si>
    <t xml:space="preserve">Web Summit</t>
  </si>
  <si>
    <t xml:space="preserve">Data &amp; tech</t>
  </si>
  <si>
    <t xml:space="preserve">Lisbon</t>
  </si>
  <si>
    <t xml:space="preserve">Paid ticket, speaker applications through Web Summit</t>
  </si>
  <si>
    <t xml:space="preserve">https://english.rvo.nl/events/web-summit-2026-lisbon</t>
  </si>
  <si>
    <t xml:space="preserve">Drapers Awards</t>
  </si>
  <si>
    <t xml:space="preserve">Paid tables through Drapers (Emap)</t>
  </si>
  <si>
    <t xml:space="preserve">https://www.sussexexpress.co.uk/business/eastbourne-based-business-shortlisted-for-fashion-industry-leading-award-9253997</t>
  </si>
  <si>
    <t xml:space="preserve">At Old Billingsgate, date from a single source</t>
  </si>
  <si>
    <t xml:space="preserve">The Fashion Awards (British Fashion Council)</t>
  </si>
  <si>
    <t xml:space="preserve">Invite or BFC tables, ask the BFC press office about media accreditation</t>
  </si>
  <si>
    <t xml:space="preserve">https://fashionunited.uk/news/fashion/bfc-announces-fashion-awards-2026-nominees/2026091690370</t>
  </si>
  <si>
    <t xml:space="preserve">At the Royal Albert Hall. Public tickets for 2026 not confirmed</t>
  </si>
  <si>
    <t xml:space="preserve">Dec 2026</t>
  </si>
  <si>
    <t xml:space="preserve">Copenhagen Fashion Week AW27 accreditation opens</t>
  </si>
  <si>
    <t xml:space="preserve">Fashion week</t>
  </si>
  <si>
    <t xml:space="preserve">Copenhagen</t>
  </si>
  <si>
    <t xml:space="preserve">Probably early December (last season it ran 4 Dec to 23 Jan)</t>
  </si>
  <si>
    <t xml:space="preserve">Apply through the CPHFW accreditation system</t>
  </si>
  <si>
    <t xml:space="preserve">https://copenhagenfashionweek.com/application/show-presentation-schedule-information</t>
  </si>
  <si>
    <t xml:space="preserve">London Fashion Week AW27 accreditation opens</t>
  </si>
  <si>
    <t xml:space="preserve">Probably December to January, alongside the provisional schedule</t>
  </si>
  <si>
    <t xml:space="preserve">BFC accreditation: Instagram 35k+, TikTok 100k+ or a blog or newsletter with 15,000+ monthly unique visitors, plus proof of work from the past 12 months</t>
  </si>
  <si>
    <t xml:space="preserve">https://londonfashionweek.co.uk/accreditation-criteria</t>
  </si>
  <si>
    <t xml:space="preserve">Creator accreditation covers the NEWGEN Show Space only, individual show seats come from each brand's PR</t>
  </si>
  <si>
    <t xml:space="preserve">Conference</t>
  </si>
  <si>
    <t xml:space="preserve">Oxfordshire</t>
  </si>
  <si>
    <t xml:space="preserve">Invite only, but there's an invitation-request form open now and BoF says it replies within 14 days</t>
  </si>
  <si>
    <t xml:space="preserve">At Soho Farmhouse. Request an invite this week</t>
  </si>
  <si>
    <t xml:space="preserve">Jan 2027</t>
  </si>
  <si>
    <t xml:space="preserve">NRF Retail's Big Show</t>
  </si>
  <si>
    <t xml:space="preserve">Paid ticket, speaker proposals through NRF</t>
  </si>
  <si>
    <t xml:space="preserve">https://retailboss.co/events/nrf-2027-retails-big-show/</t>
  </si>
  <si>
    <t xml:space="preserve">Milan Men's Fashion Week FW27</t>
  </si>
  <si>
    <t xml:space="preserve">Milan</t>
  </si>
  <si>
    <t xml:space="preserve">CNMI accreditation</t>
  </si>
  <si>
    <t xml:space="preserve">https://thesybarite.co/experiences/milan-fashion-week-autumn-winter-2027</t>
  </si>
  <si>
    <t xml:space="preserve">Single source</t>
  </si>
  <si>
    <t xml:space="preserve">Paris Men's Fashion Week FW27</t>
  </si>
  <si>
    <t xml:space="preserve">Paris</t>
  </si>
  <si>
    <t xml:space="preserve">FHCM press accreditation, show invites through each brand's PR</t>
  </si>
  <si>
    <t xml:space="preserve">https://www.fhcm.paris/en/next-dates</t>
  </si>
  <si>
    <t xml:space="preserve">Paris Haute Couture SS27</t>
  </si>
  <si>
    <t xml:space="preserve">FHCM accreditation plus house PR invites</t>
  </si>
  <si>
    <t xml:space="preserve">Feb 2027</t>
  </si>
  <si>
    <t xml:space="preserve">New York Fashion Week AW27</t>
  </si>
  <si>
    <t xml:space="preserve">February 2027, exact dates conflict between sources (2026 was 11 to 16 Feb)</t>
  </si>
  <si>
    <t xml:space="preserve">Register through the CFDA's media registration when the schedule drops (mid January), then email each show's PR from the CFDA Fashion Calendar with your stats</t>
  </si>
  <si>
    <t xml:space="preserve">https://cfda.com/news/nyfw-mens-media-retail-registration-is-open/</t>
  </si>
  <si>
    <t xml:space="preserve">Avoid paid third-party NYFW passes. Perfect timing for a Ground Data New York street check</t>
  </si>
  <si>
    <t xml:space="preserve">London Fashion Week AW27</t>
  </si>
  <si>
    <t xml:space="preserve">February 2027, exact dates conflict between sources (2026 was 19 to 23 Feb)</t>
  </si>
  <si>
    <t xml:space="preserve">BFC accreditation, then pitch brand PRs for show seats</t>
  </si>
  <si>
    <t xml:space="preserve">https://www.britishfashioncouncil.co.uk</t>
  </si>
  <si>
    <t xml:space="preserve">Copenhagen Fashion Week AW27</t>
  </si>
  <si>
    <t xml:space="preserve">Accreditation is open to creators, and Substack has run creator sessions here before</t>
  </si>
  <si>
    <t xml:space="preserve">https://copenhagenfashionweek.com/</t>
  </si>
  <si>
    <t xml:space="preserve">Most creator-friendly accreditation of the big weeks</t>
  </si>
  <si>
    <t xml:space="preserve">Milan Fashion Week Women's AW27</t>
  </si>
  <si>
    <t xml:space="preserve">https://www.milanofinanza.it/news/milano-un-febbraio-2027-caldo-tra-moda-e-motori-2716565</t>
  </si>
  <si>
    <t xml:space="preserve">Retail Week Awards</t>
  </si>
  <si>
    <t xml:space="preserve">Paid tables</t>
  </si>
  <si>
    <t xml:space="preserve">At Grosvenor House</t>
  </si>
  <si>
    <t xml:space="preserve">Mar 2027</t>
  </si>
  <si>
    <t xml:space="preserve">LVMH Prize semi-final</t>
  </si>
  <si>
    <t xml:space="preserve">Usually early March (4 to 5 Mar in 2026)</t>
  </si>
  <si>
    <t xml:space="preserve">Invite only for press and buyers, LVMH Prize press office</t>
  </si>
  <si>
    <t xml:space="preserve">https://www.lvmh.com/en/news-lvmh/2026-lvmh-prize-for-young-fashion-designers13th-edition</t>
  </si>
  <si>
    <t xml:space="preserve">Drapers Conscious Fashion Summit</t>
  </si>
  <si>
    <t xml:space="preserve">Usually March (11 Mar in 2026)</t>
  </si>
  <si>
    <t xml:space="preserve">Paid ticket, pitch Drapers events for a speaking slot</t>
  </si>
  <si>
    <t xml:space="preserve">https://www.fibre2fashion.com/trade-fairs/drapers-conscious-fashion-summit-2026-65414</t>
  </si>
  <si>
    <t xml:space="preserve">Paris Fashion Week Women's AW27</t>
  </si>
  <si>
    <t xml:space="preserve">FHCM accreditation plus brand PR</t>
  </si>
  <si>
    <t xml:space="preserve">FashionUnited lists 28 Feb to 8 Mar, check the FHCM calendar</t>
  </si>
  <si>
    <t xml:space="preserve">LIVE: Retail Week x The Grocer</t>
  </si>
  <si>
    <t xml:space="preserve">Paid ticket, speaker contact on the Retail Week events page</t>
  </si>
  <si>
    <t xml:space="preserve">https://live.retail-week.com/</t>
  </si>
  <si>
    <t xml:space="preserve">Shoptalk Spring</t>
  </si>
  <si>
    <t xml:space="preserve">Las Vegas</t>
  </si>
  <si>
    <t xml:space="preserve">Paid, with a speaker and media programme</t>
  </si>
  <si>
    <t xml:space="preserve">https://www.beri.net/events/shoptalk-spring-2027</t>
  </si>
  <si>
    <t xml:space="preserve">Apr 2027</t>
  </si>
  <si>
    <t xml:space="preserve">MAPP Fashion Decoded</t>
  </si>
  <si>
    <t xml:space="preserve">Usually April (16 Apr in 2026)</t>
  </si>
  <si>
    <t xml:space="preserve">Ticket through MAPP</t>
  </si>
  <si>
    <t xml:space="preserve">https://machalliance.org/events/mapp-fashion-decoded-2026</t>
  </si>
  <si>
    <t xml:space="preserve">May 2027</t>
  </si>
  <si>
    <t xml:space="preserve">Vogue Business Global Summit</t>
  </si>
  <si>
    <t xml:space="preserve">France</t>
  </si>
  <si>
    <t xml:space="preserve">Usually May (11 to 12 May in 2026)</t>
  </si>
  <si>
    <t xml:space="preserve">Invite or paid</t>
  </si>
  <si>
    <t xml:space="preserve">https://zapiet.com/events/vogue-business-summit-2026</t>
  </si>
  <si>
    <t xml:space="preserve">Global Fashion Summit</t>
  </si>
  <si>
    <t xml:space="preserve">Possibly 25 to 27 May 2027, sources conflict</t>
  </si>
  <si>
    <t xml:space="preserve">Paid or by application</t>
  </si>
  <si>
    <t xml:space="preserve">https://www.worldfootwear.com/events/global-fashion-summit-copenhagen-denmark-/5822.html</t>
  </si>
  <si>
    <t xml:space="preserve">Met Gala</t>
  </si>
  <si>
    <t xml:space="preserve">Invite only and not realistic to request, cover it as content instead</t>
  </si>
  <si>
    <t xml:space="preserve">https://vogue.ph/fashion/everything-you-need-to-know-met-gala-2027/</t>
  </si>
  <si>
    <t xml:space="preserve">Reported theme John Galliano: Horizons, and the date may move</t>
  </si>
  <si>
    <t xml:space="preserve">Jun 2027</t>
  </si>
  <si>
    <t xml:space="preserve">Usually early June, CFP deadline usually mid February (16 Feb in 2026)</t>
  </si>
  <si>
    <t xml:space="preserve">Speaker CFP (speakers get a free ticket) or paid ticket</t>
  </si>
  <si>
    <t xml:space="preserve">Submit a talk on runway tagging plus search validation by mid February</t>
  </si>
  <si>
    <t xml:space="preserve">Shoptalk Europe</t>
  </si>
  <si>
    <t xml:space="preserve">Barcelona</t>
  </si>
  <si>
    <t xml:space="preserve">https://www.cantonfair.net/event/31439-shoptalk-europe-2027-europes-home-for-retail-innovation-1-3-june-barcelona</t>
  </si>
  <si>
    <t xml:space="preserve">Cannes Lions (LIONS Creators)</t>
  </si>
  <si>
    <t xml:space="preserve">Creator</t>
  </si>
  <si>
    <t xml:space="preserve">Cannes</t>
  </si>
  <si>
    <t xml:space="preserve">Paid pass, LIONS Creators programme</t>
  </si>
  <si>
    <t xml:space="preserve">https://en.cannes-france.com/offers/cannes-lions-international-festival-of-creativity-cannes-en-3657190/</t>
  </si>
  <si>
    <t xml:space="preserve">Jul 2027</t>
  </si>
  <si>
    <t xml:space="preserve">Paris Haute Couture FW27</t>
  </si>
  <si>
    <t xml:space="preserve">FHCM plus house PR</t>
  </si>
  <si>
    <t xml:space="preserve">Aug 2027</t>
  </si>
  <si>
    <t xml:space="preserve">LTK Con</t>
  </si>
  <si>
    <t xml:space="preserve">Dallas</t>
  </si>
  <si>
    <t xml:space="preserve">Usually late August (25 to 27 Aug in 2026)</t>
  </si>
  <si>
    <t xml:space="preserve">Invite only for LTK creators</t>
  </si>
  <si>
    <t xml:space="preserve">https://retailboss.co/?p=19549</t>
  </si>
  <si>
    <t xml:space="preserve">Sep 2027</t>
  </si>
  <si>
    <t xml:space="preserve">New York Fashion Week SS28</t>
  </si>
  <si>
    <t xml:space="preserve">Usually September (10 to 15 Sept in 2026)</t>
  </si>
  <si>
    <t xml:space="preserve">CFDA registration</t>
  </si>
  <si>
    <t xml:space="preserve">https://fashionunited.uk/news/fashion/cfda-unveils-nyfw-schedule-with-new-additions-returning-brands-and-fur-free-debut/2026070188958</t>
  </si>
  <si>
    <t xml:space="preserve">ELLE Style Awards UK</t>
  </si>
  <si>
    <t xml:space="preserve">Usually early September, opening LFW</t>
  </si>
  <si>
    <t xml:space="preserve">Invite only, Hearst UK ELLE PR</t>
  </si>
  <si>
    <t xml:space="preserve">https://www.hearstmagazinesinternational.com/news/elle-uk-celebrates-the-2025-elle-style-awards/</t>
  </si>
  <si>
    <t xml:space="preserve">London Fashion Week SS28</t>
  </si>
  <si>
    <t xml:space="preserve">Usually mid September (17 to 21 Sept in 2026)</t>
  </si>
  <si>
    <t xml:space="preserve">BFC accreditation</t>
  </si>
  <si>
    <t xml:space="preserve">https://fashionunited.uk/news/fashion/lfw-ss27-bfc-announces-provisional-schedule/2026072089310</t>
  </si>
  <si>
    <t xml:space="preserve">Paris Fashion Week Women's SS28</t>
  </si>
  <si>
    <t xml:space="preserve">Usually late September to early October</t>
  </si>
  <si>
    <t xml:space="preserve">FHCM</t>
  </si>
  <si>
    <t xml:space="preserve">Oct 2027</t>
  </si>
  <si>
    <t xml:space="preserve">BoF 500 Gala</t>
  </si>
  <si>
    <t xml:space="preserve">Usually during Paris Fashion Week (3 Oct in 2026)</t>
  </si>
  <si>
    <t xml:space="preserve">Invite only, approach the BoF events and partnerships team</t>
  </si>
  <si>
    <t xml:space="preserve">https://www.quien.com/moda/2026/10/05/los-mejores-looks-de-la-gala-de-bof-500-2026</t>
  </si>
  <si>
    <t xml:space="preserve">Nov 2027</t>
  </si>
  <si>
    <t xml:space="preserve">Women in AI Global Summit</t>
  </si>
  <si>
    <t xml:space="preserve">Ticket or speaker application</t>
  </si>
  <si>
    <t xml:space="preserve">https://zplatform.ai/ai-event/women-in-ai-global-summit-2027/</t>
  </si>
  <si>
    <t xml:space="preserve">Single aggregator source</t>
  </si>
</sst>
</file>

<file path=xl/styles.xml><?xml version="1.0" encoding="utf-8"?>
<styleSheet xmlns="http://schemas.openxmlformats.org/spreadsheetml/2006/main">
  <numFmts count="3">
    <numFmt numFmtId="164" formatCode="General"/>
    <numFmt numFmtId="165" formatCode="General"/>
    <numFmt numFmtId="166" formatCode="d\ mmm\ yyyy"/>
  </numFmts>
  <fonts count="14">
    <font>
      <sz val="11"/>
      <color theme="1"/>
      <name val="Calibri"/>
      <family val="2"/>
      <charset val="1"/>
    </font>
    <font>
      <sz val="10"/>
      <name val="Arial"/>
      <family val="0"/>
    </font>
    <font>
      <sz val="10"/>
      <name val="Arial"/>
      <family val="0"/>
    </font>
    <font>
      <sz val="10"/>
      <name val="Arial"/>
      <family val="0"/>
    </font>
    <font>
      <b val="true"/>
      <sz val="18"/>
      <color rgb="FF222222"/>
      <name val="Arial"/>
      <family val="0"/>
      <charset val="1"/>
    </font>
    <font>
      <i val="true"/>
      <sz val="10"/>
      <color rgb="FF6B6466"/>
      <name val="Arial"/>
      <family val="0"/>
      <charset val="1"/>
    </font>
    <font>
      <b val="true"/>
      <sz val="13"/>
      <color rgb="FF222222"/>
      <name val="Arial"/>
      <family val="0"/>
      <charset val="1"/>
    </font>
    <font>
      <b val="true"/>
      <sz val="10"/>
      <color rgb="FFFFFFFF"/>
      <name val="Arial"/>
      <family val="0"/>
      <charset val="1"/>
    </font>
    <font>
      <b val="true"/>
      <sz val="10"/>
      <color rgb="FF222222"/>
      <name val="Arial"/>
      <family val="0"/>
      <charset val="1"/>
    </font>
    <font>
      <sz val="10"/>
      <color rgb="FF222222"/>
      <name val="Arial"/>
      <family val="0"/>
      <charset val="1"/>
    </font>
    <font>
      <b val="true"/>
      <sz val="10"/>
      <color rgb="FFD6447A"/>
      <name val="Arial"/>
      <family val="0"/>
      <charset val="1"/>
    </font>
    <font>
      <b val="true"/>
      <sz val="10"/>
      <color rgb="FFA33A3A"/>
      <name val="Arial"/>
      <family val="0"/>
      <charset val="1"/>
    </font>
    <font>
      <i val="true"/>
      <sz val="9"/>
      <color rgb="FF6B6466"/>
      <name val="Arial"/>
      <family val="0"/>
      <charset val="1"/>
    </font>
    <font>
      <u val="single"/>
      <sz val="10"/>
      <color rgb="FF1F4E9A"/>
      <name val="Arial"/>
      <family val="0"/>
      <charset val="1"/>
    </font>
  </fonts>
  <fills count="5">
    <fill>
      <patternFill patternType="none"/>
    </fill>
    <fill>
      <patternFill patternType="gray125"/>
    </fill>
    <fill>
      <patternFill patternType="solid">
        <fgColor rgb="FFD6447A"/>
        <bgColor rgb="FFA33A3A"/>
      </patternFill>
    </fill>
    <fill>
      <patternFill patternType="solid">
        <fgColor rgb="FF111111"/>
        <bgColor rgb="FF000000"/>
      </patternFill>
    </fill>
    <fill>
      <patternFill patternType="solid">
        <fgColor rgb="FFFFF6CC"/>
        <bgColor rgb="FFFDF0D5"/>
      </patternFill>
    </fill>
  </fills>
  <borders count="2">
    <border diagonalUp="false" diagonalDown="false">
      <left/>
      <right/>
      <top/>
      <bottom/>
      <diagonal/>
    </border>
    <border diagonalUp="false" diagonalDown="false">
      <left/>
      <right/>
      <top/>
      <bottom style="thin">
        <color rgb="FFE4DF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11111"/>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D6447A"/>
          <bgColor rgb="FF000000"/>
        </patternFill>
      </fill>
    </dxf>
    <dxf>
      <fill>
        <patternFill patternType="solid">
          <fgColor rgb="FFFFF6CC"/>
          <bgColor rgb="FF000000"/>
        </patternFill>
      </fill>
    </dxf>
    <dxf>
      <fill>
        <patternFill patternType="solid">
          <fgColor rgb="FF1F4E9A"/>
          <bgColor rgb="FF000000"/>
        </patternFill>
      </fill>
    </dxf>
    <dxf>
      <fill>
        <patternFill>
          <bgColor rgb="FFFDF0D5"/>
        </patternFill>
      </fill>
    </dxf>
    <dxf>
      <fill>
        <patternFill>
          <bgColor rgb="FFDDF1E6"/>
        </patternFill>
      </fill>
    </dxf>
    <dxf>
      <fill>
        <patternFill>
          <bgColor rgb="FFBFE6CF"/>
        </patternFill>
      </fill>
    </dxf>
    <dxf>
      <fill>
        <patternFill>
          <bgColor rgb="FFEEEEEE"/>
        </patternFill>
      </fill>
    </dxf>
    <dxf>
      <font>
        <name val="Arial"/>
        <charset val="1"/>
        <family val="0"/>
        <b val="1"/>
        <color rgb="FFD6447A"/>
      </font>
    </dxf>
    <dxf>
      <font>
        <name val="Arial"/>
        <charset val="1"/>
        <family val="0"/>
        <b val="1"/>
        <color rgb="FFA33A3A"/>
      </font>
    </dxf>
    <dxf>
      <fill>
        <patternFill patternType="solid">
          <fgColor rgb="FFB26A00"/>
          <bgColor rgb="FF000000"/>
        </patternFill>
      </fill>
    </dxf>
    <dxf>
      <font>
        <name val="Arial"/>
        <charset val="1"/>
        <family val="0"/>
        <b val="1"/>
        <color rgb="FFB26A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26A00"/>
      <rgbColor rgb="FF800080"/>
      <rgbColor rgb="FF008080"/>
      <rgbColor rgb="FFC0C0C0"/>
      <rgbColor rgb="FF808080"/>
      <rgbColor rgb="FF9999FF"/>
      <rgbColor rgb="FFA33A3A"/>
      <rgbColor rgb="FFFFF6CC"/>
      <rgbColor rgb="FFDDF1E6"/>
      <rgbColor rgb="FF660066"/>
      <rgbColor rgb="FFFF8080"/>
      <rgbColor rgb="FF0066CC"/>
      <rgbColor rgb="FFE4DFDD"/>
      <rgbColor rgb="FF000080"/>
      <rgbColor rgb="FFFF00FF"/>
      <rgbColor rgb="FFFFFF00"/>
      <rgbColor rgb="FF00FFFF"/>
      <rgbColor rgb="FF800080"/>
      <rgbColor rgb="FF800000"/>
      <rgbColor rgb="FF008080"/>
      <rgbColor rgb="FF0000FF"/>
      <rgbColor rgb="FF00CCFF"/>
      <rgbColor rgb="FFEEEEEE"/>
      <rgbColor rgb="FFBFE6CF"/>
      <rgbColor rgb="FFFDF0D5"/>
      <rgbColor rgb="FF99CCFF"/>
      <rgbColor rgb="FFFF99CC"/>
      <rgbColor rgb="FFCC99FF"/>
      <rgbColor rgb="FFFFCC99"/>
      <rgbColor rgb="FF3366FF"/>
      <rgbColor rgb="FF33CCCC"/>
      <rgbColor rgb="FF99CC00"/>
      <rgbColor rgb="FFFFCC00"/>
      <rgbColor rgb="FFFF9900"/>
      <rgbColor rgb="FFFF6600"/>
      <rgbColor rgb="FF6B6466"/>
      <rgbColor rgb="FF969696"/>
      <rgbColor rgb="FF003366"/>
      <rgbColor rgb="FF339966"/>
      <rgbColor rgb="FF111111"/>
      <rgbColor rgb="FF333300"/>
      <rgbColor rgb="FF993300"/>
      <rgbColor rgb="FFD6447A"/>
      <rgbColor rgb="FF1F4E9A"/>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ritzia.com/us/en/aritzia/corporate-hub/corporate-media-room" TargetMode="External"/><Relationship Id="rId2" Type="http://schemas.openxmlformats.org/officeDocument/2006/relationships/hyperlink" Target="https://www.marketbeat.com/instant-alerts/aritzia-shareholders-back-board-as-ceo-touts-35-revenue-growth-us-expansion-2026-07-13/" TargetMode="External"/><Relationship Id="rId3" Type="http://schemas.openxmlformats.org/officeDocument/2006/relationships/hyperlink" Target="https://www.tapestry.com/contact/" TargetMode="External"/><Relationship Id="rId4" Type="http://schemas.openxmlformats.org/officeDocument/2006/relationships/hyperlink" Target="https://pulse2.com/tapestry-11-million-new-customers-join-in-fy26-as-gen-z-represents-35-of-acquisitions/" TargetMode="External"/><Relationship Id="rId5" Type="http://schemas.openxmlformats.org/officeDocument/2006/relationships/hyperlink" Target="https://www.meandem.com/us/contact" TargetMode="External"/><Relationship Id="rId6" Type="http://schemas.openxmlformats.org/officeDocument/2006/relationships/hyperlink" Target="https://fashionunited.com/news/business/me-em-welcomes-strong-growth-as-us-market-drives-performance/2025103168975" TargetMode="External"/><Relationship Id="rId7" Type="http://schemas.openxmlformats.org/officeDocument/2006/relationships/hyperlink" Target="https://corporate.ralphlauren.com/contact" TargetMode="External"/><Relationship Id="rId8" Type="http://schemas.openxmlformats.org/officeDocument/2006/relationships/hyperlink" Target="https://www.sec.gov/Archives/edgar/data/0001037038/000162828026037053/rl-20260328xex991xpressrel.htm" TargetMode="External"/><Relationship Id="rId9" Type="http://schemas.openxmlformats.org/officeDocument/2006/relationships/hyperlink" Target="https://help.thereformation.com/en_us/contact/contact-us-HJbQdfdHj" TargetMode="External"/><Relationship Id="rId10" Type="http://schemas.openxmlformats.org/officeDocument/2006/relationships/hyperlink" Target="https://affilimate.com/programs/reformation-affiliate-program/" TargetMode="External"/><Relationship Id="rId11" Type="http://schemas.openxmlformats.org/officeDocument/2006/relationships/hyperlink" Target="https://tibi.com/pages/customer-care" TargetMode="External"/><Relationship Id="rId12" Type="http://schemas.openxmlformats.org/officeDocument/2006/relationships/hyperlink" Target="https://www.disneyrollergirl.net/fashion-founder-substacks-influencers/" TargetMode="External"/><Relationship Id="rId13" Type="http://schemas.openxmlformats.org/officeDocument/2006/relationships/hyperlink" Target="https://toteme-studio.com/pages/contact" TargetMode="External"/><Relationship Id="rId14" Type="http://schemas.openxmlformats.org/officeDocument/2006/relationships/hyperlink" Target="https://www.papercitymag.com/fashion/knox-street-announces-new-retailers-2026/" TargetMode="External"/><Relationship Id="rId15" Type="http://schemas.openxmlformats.org/officeDocument/2006/relationships/hyperlink" Target="https://ullajohnson.com/pages/contact" TargetMode="External"/><Relationship Id="rId16" Type="http://schemas.openxmlformats.org/officeDocument/2006/relationships/hyperlink" Target="https://fashionunited.uk/news/retail/ulla-johnson-opens-first-standalone-store-outside-us-in-london/2026090390118" TargetMode="External"/><Relationship Id="rId17" Type="http://schemas.openxmlformats.org/officeDocument/2006/relationships/hyperlink" Target="https://veronicabeard.com/pages/press" TargetMode="External"/><Relationship Id="rId18" Type="http://schemas.openxmlformats.org/officeDocument/2006/relationships/hyperlink" Target="https://veronicabeard.com/blogs/career/affiliate-digital-partnerships-manager" TargetMode="External"/><Relationship Id="rId19" Type="http://schemas.openxmlformats.org/officeDocument/2006/relationships/hyperlink" Target="https://cultgaia.com/pages/work-with-us" TargetMode="External"/><Relationship Id="rId20" Type="http://schemas.openxmlformats.org/officeDocument/2006/relationships/hyperlink" Target="https://www.nssmag.com/en/fashion/44248/nyfw-fw26-debuts-proenza-schouler-calvin-klein-cult-gaia-n4xt" TargetMode="External"/><Relationship Id="rId21" Type="http://schemas.openxmlformats.org/officeDocument/2006/relationships/hyperlink" Target="https://www.shopdoen.com/pages/contact" TargetMode="External"/><Relationship Id="rId22" Type="http://schemas.openxmlformats.org/officeDocument/2006/relationships/hyperlink" Target="https://www.papercitymag.com/fashion/knox-street-announces-new-retailers-2026/" TargetMode="External"/><Relationship Id="rId23" Type="http://schemas.openxmlformats.org/officeDocument/2006/relationships/hyperlink" Target="https://agolde.com/pages/sales-press" TargetMode="External"/><Relationship Id="rId24" Type="http://schemas.openxmlformats.org/officeDocument/2006/relationships/hyperlink" Target="https://www.daisycon.com/sv/kampanj/18386-frame-int/" TargetMode="External"/><Relationship Id="rId25" Type="http://schemas.openxmlformats.org/officeDocument/2006/relationships/hyperlink" Target="https://www.glossy.co/fashion/how-jenni-kayne-used-its-nyfw-show-to-acquire-valuable-cross-category-shoppers/" TargetMode="External"/><Relationship Id="rId26" Type="http://schemas.openxmlformats.org/officeDocument/2006/relationships/hyperlink" Target="https://khaite.com/pages/contact-us" TargetMode="External"/><Relationship Id="rId27" Type="http://schemas.openxmlformats.org/officeDocument/2006/relationships/hyperlink" Target="https://www.papercitymag.com/fashion/khaite-dallas-new-store-shopping-clothing-quiet-luxury/" TargetMode="External"/><Relationship Id="rId28" Type="http://schemas.openxmlformats.org/officeDocument/2006/relationships/hyperlink" Target="https://fashionunited.com/news/business/prada-group-closes-h1-with-a-16-percent-increase-in-net-revenue/2026073073824" TargetMode="External"/><Relationship Id="rId29" Type="http://schemas.openxmlformats.org/officeDocument/2006/relationships/hyperlink" Target="https://support.polene-paris.com/hc/en-us/articles/360010129820" TargetMode="External"/><Relationship Id="rId30" Type="http://schemas.openxmlformats.org/officeDocument/2006/relationships/hyperlink" Target="https://www.glossy.co/fashion/french-brands-are-expanding-their-retail-presence-to-the-u-s/" TargetMode="External"/><Relationship Id="rId31" Type="http://schemas.openxmlformats.org/officeDocument/2006/relationships/hyperlink" Target="https://www.proenzaschouler.com/pages/contact-us" TargetMode="External"/><Relationship Id="rId32" Type="http://schemas.openxmlformats.org/officeDocument/2006/relationships/hyperlink" Target="https://www.theindustry.fashion/proenza-schouler-names-rachel-scott-as-creative-director/" TargetMode="External"/><Relationship Id="rId33" Type="http://schemas.openxmlformats.org/officeDocument/2006/relationships/hyperlink" Target="https://www.rixo.co.uk/contact/" TargetMode="External"/><Relationship Id="rId34" Type="http://schemas.openxmlformats.org/officeDocument/2006/relationships/hyperlink" Target="https://us.fashionnetwork.com/news/Rixo-makes-nyc-pop-up-a-permanent-store,1659332.html" TargetMode="External"/><Relationship Id="rId35" Type="http://schemas.openxmlformats.org/officeDocument/2006/relationships/hyperlink" Target="https://staud.clothing/pages/contact-us" TargetMode="External"/><Relationship Id="rId36" Type="http://schemas.openxmlformats.org/officeDocument/2006/relationships/hyperlink" Target="https://www.papercitymag.com/fashion/knox-street-announces-new-retailers-2026/" TargetMode="External"/><Relationship Id="rId37" Type="http://schemas.openxmlformats.org/officeDocument/2006/relationships/hyperlink" Target="https://www.sezane.com/us-en/contact" TargetMode="External"/><Relationship Id="rId38" Type="http://schemas.openxmlformats.org/officeDocument/2006/relationships/hyperlink" Target="https://fashionunited.com/news/retail/sezane-to-open-new-us-store-in-washington-in-april/2026020470406" TargetMode="External"/><Relationship Id="rId39" Type="http://schemas.openxmlformats.org/officeDocument/2006/relationships/hyperlink" Target="https://www.toryburch.com/on/demandware.store/Sites-ToryBurch_EU-Site/en/CustomerService-ContactUs" TargetMode="External"/><Relationship Id="rId40" Type="http://schemas.openxmlformats.org/officeDocument/2006/relationships/hyperlink" Target="https://www.flexoffers.com/affiliate-programs/tory-burch-affiliate-program/" TargetMode="External"/><Relationship Id="rId41" Type="http://schemas.openxmlformats.org/officeDocument/2006/relationships/hyperlink" Target="https://secure.businesswire.com/news/home/20260910767018/en/Vince-Holding-Corp.-Reports-Second-Quarter-2026-Results" TargetMode="External"/><Relationship Id="rId42" Type="http://schemas.openxmlformats.org/officeDocument/2006/relationships/hyperlink" Target="https://ww.fashionnetwork.com/tags-gabriela-hearst" TargetMode="External"/><Relationship Id="rId43" Type="http://schemas.openxmlformats.org/officeDocument/2006/relationships/hyperlink" Target="https://fashionunited.com/news/retail/jacquemus-opens-in-los-angeles-on-melrose-avenue/2025042465643" TargetMode="External"/><Relationship Id="rId44" Type="http://schemas.openxmlformats.org/officeDocument/2006/relationships/hyperlink" Target="https://www.ganni.com/us/press-showrooms.html" TargetMode="External"/><Relationship Id="rId45" Type="http://schemas.openxmlformats.org/officeDocument/2006/relationships/hyperlink" Target="https://www.instagram.com/" TargetMode="External"/><Relationship Id="rId46" Type="http://schemas.openxmlformats.org/officeDocument/2006/relationships/hyperlink" Target="https://graziamagazine.com/us/articles/the-row-paris-fashion-week-no-social-media/" TargetMode="External"/><Relationship Id="rId47" Type="http://schemas.openxmlformats.org/officeDocument/2006/relationships/hyperlink" Target="https://libertylondon.com/uk/information/the-liberty-london-affiliate-program.html" TargetMode="External"/><Relationship Id="rId48" Type="http://schemas.openxmlformats.org/officeDocument/2006/relationships/hyperlink" Target="https://secure.businesswire.com/news/home/20260318912197/en/LTK-Launches-Quick-Collabs-A-Faster-Way-for-Brands-and-Creators-to-Work-Together" TargetMode="External"/><Relationship Id="rId49" Type="http://schemas.openxmlformats.org/officeDocument/2006/relationships/hyperlink" Target="https://www.nordstrom.com/browse/about/nordstrom-media-network" TargetMode="External"/><Relationship Id="rId50" Type="http://schemas.openxmlformats.org/officeDocument/2006/relationships/hyperlink" Target="https://nordstrom.gcs-web.com/work-us-0" TargetMode="External"/><Relationship Id="rId51" Type="http://schemas.openxmlformats.org/officeDocument/2006/relationships/hyperlink" Target="https://getlasso.co/affiliate/shopbop/" TargetMode="External"/><Relationship Id="rId52" Type="http://schemas.openxmlformats.org/officeDocument/2006/relationships/hyperlink" Target="https://pulse2.com/shopmy-70-million-at-1-5-billion-valuation-raised-for-expanding-curated-commerce-infrastructure-for-premium-brands" TargetMode="External"/><Relationship Id="rId53" Type="http://schemas.openxmlformats.org/officeDocument/2006/relationships/hyperlink" Target="https://investors.revolve.com/news/news-details/2026/Revolve-Group-Announces-Second-Quarter-2026-Financial-Results/default.aspx" TargetMode="External"/><Relationship Id="rId54" Type="http://schemas.openxmlformats.org/officeDocument/2006/relationships/hyperlink" Target="https://investors.revolve.com/files/doc_news/REVOLVE-Launches-Brand-Ambassador-Program-Leveraging-in-House-Proprietary-Technology-2021.pdf" TargetMode="External"/><Relationship Id="rId55" Type="http://schemas.openxmlformats.org/officeDocument/2006/relationships/hyperlink" Target="https://www.whatnot.com/" TargetMode="External"/><Relationship Id="rId56" Type="http://schemas.openxmlformats.org/officeDocument/2006/relationships/hyperlink" Target="https://www.fwrd.com/fw/Affiliate.jsp" TargetMode="External"/><Relationship Id="rId57" Type="http://schemas.openxmlformats.org/officeDocument/2006/relationships/hyperlink" Target="https://www.mytheresa.com/me/en/affiliates" TargetMode="External"/><Relationship Id="rId58" Type="http://schemas.openxmlformats.org/officeDocument/2006/relationships/hyperlink" Target="https://www.net-a-porter.com/" TargetMode="External"/><Relationship Id="rId59" Type="http://schemas.openxmlformats.org/officeDocument/2006/relationships/hyperlink" Target="https://news.bloomberglaw.com/bankruptcy-law/saks-global-emerges-from-bankruptcy-as-exemplar-luxury-group" TargetMode="External"/><Relationship Id="rId60" Type="http://schemas.openxmlformats.org/officeDocument/2006/relationships/hyperlink" Target="https://www.selfridges.com/" TargetMode="External"/><Relationship Id="rId6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businessoffashion.com/contact-us/" TargetMode="External"/><Relationship Id="rId2" Type="http://schemas.openxmlformats.org/officeDocument/2006/relationships/hyperlink" Target="https://www.businessoffashion.com/contact" TargetMode="External"/><Relationship Id="rId3" Type="http://schemas.openxmlformats.org/officeDocument/2006/relationships/hyperlink" Target="https://www.drapersonline.com/contact-us" TargetMode="External"/><Relationship Id="rId4" Type="http://schemas.openxmlformats.org/officeDocument/2006/relationships/hyperlink" Target="https://www.drapersonline.com/contact-us" TargetMode="External"/><Relationship Id="rId5" Type="http://schemas.openxmlformats.org/officeDocument/2006/relationships/hyperlink" Target="https://graziadaily.co.uk/contact/" TargetMode="External"/><Relationship Id="rId6" Type="http://schemas.openxmlformats.org/officeDocument/2006/relationships/hyperlink" Target="https://www.inpublishing.co.uk/" TargetMode="External"/><Relationship Id="rId7" Type="http://schemas.openxmlformats.org/officeDocument/2006/relationships/hyperlink" Target="https://www.theindustry.fashion/the-team/" TargetMode="External"/><Relationship Id="rId8" Type="http://schemas.openxmlformats.org/officeDocument/2006/relationships/hyperlink" Target="https://theindustry.beauty/editorial-policy" TargetMode="External"/><Relationship Id="rId9" Type="http://schemas.openxmlformats.org/officeDocument/2006/relationships/hyperlink" Target="https://www.voguebusiness.com/" TargetMode="External"/><Relationship Id="rId10" Type="http://schemas.openxmlformats.org/officeDocument/2006/relationships/hyperlink" Target="https://www.voguebusiness.com/" TargetMode="External"/><Relationship Id="rId11" Type="http://schemas.openxmlformats.org/officeDocument/2006/relationships/hyperlink" Target="https://www.whowhatwear.com/about-who-what-wear" TargetMode="External"/><Relationship Id="rId12" Type="http://schemas.openxmlformats.org/officeDocument/2006/relationships/hyperlink" Target="https://www.whowhatwear.com/fashion/substack-fall-2026-fashion-trends" TargetMode="External"/><Relationship Id="rId13" Type="http://schemas.openxmlformats.org/officeDocument/2006/relationships/hyperlink" Target="https://www.dazeddigital.com/contact" TargetMode="External"/><Relationship Id="rId14" Type="http://schemas.openxmlformats.org/officeDocument/2006/relationships/hyperlink" Target="https://www.dazeddigital.com/" TargetMode="External"/><Relationship Id="rId15" Type="http://schemas.openxmlformats.org/officeDocument/2006/relationships/hyperlink" Target="https://www.glossy.co/masthead/" TargetMode="External"/><Relationship Id="rId16" Type="http://schemas.openxmlformats.org/officeDocument/2006/relationships/hyperlink" Target="https://www.glossy.co/about-us" TargetMode="External"/><Relationship Id="rId17" Type="http://schemas.openxmlformats.org/officeDocument/2006/relationships/hyperlink" Target="https://i-d.co/article/how-to-pitch-to-i-d/" TargetMode="External"/><Relationship Id="rId18" Type="http://schemas.openxmlformats.org/officeDocument/2006/relationships/hyperlink" Target="https://i-d.co/article/how-to-pitch-to-i-d/" TargetMode="External"/><Relationship Id="rId19" Type="http://schemas.openxmlformats.org/officeDocument/2006/relationships/hyperlink" Target="https://muckrack.com/joe-bromley" TargetMode="External"/><Relationship Id="rId20" Type="http://schemas.openxmlformats.org/officeDocument/2006/relationships/hyperlink" Target="https://www.modaes.com/redaccion" TargetMode="External"/><Relationship Id="rId21" Type="http://schemas.openxmlformats.org/officeDocument/2006/relationships/hyperlink" Target="https://smoda.elpais.com/" TargetMode="External"/><Relationship Id="rId22" Type="http://schemas.openxmlformats.org/officeDocument/2006/relationships/hyperlink" Target="https://www.stylist.co.uk/" TargetMode="External"/><Relationship Id="rId23" Type="http://schemas.openxmlformats.org/officeDocument/2006/relationships/hyperlink" Target="https://wwd.com/news-tip/" TargetMode="External"/><Relationship Id="rId24" Type="http://schemas.openxmlformats.org/officeDocument/2006/relationships/hyperlink" Target="https://wwd.com/contact-us/" TargetMode="External"/><Relationship Id="rId25" Type="http://schemas.openxmlformats.org/officeDocument/2006/relationships/hyperlink" Target="https://fashionista.com/page/contact" TargetMode="External"/><Relationship Id="rId26" Type="http://schemas.openxmlformats.org/officeDocument/2006/relationships/hyperlink" Target="https://fashionista.com/" TargetMode="External"/><Relationship Id="rId27" Type="http://schemas.openxmlformats.org/officeDocument/2006/relationships/hyperlink" Target="https://hypebeast.com/" TargetMode="External"/><Relationship Id="rId28" Type="http://schemas.openxmlformats.org/officeDocument/2006/relationships/hyperlink" Target="https://www.refinery29.com/en-gb" TargetMode="External"/><Relationship Id="rId29" Type="http://schemas.openxmlformats.org/officeDocument/2006/relationships/hyperlink" Target="https://www.telva.com/" TargetMode="External"/><Relationship Id="rId30" Type="http://schemas.openxmlformats.org/officeDocument/2006/relationships/hyperlink" Target="https://www.theguardian.com/fashion" TargetMode="External"/><Relationship Id="rId31" Type="http://schemas.openxmlformats.org/officeDocument/2006/relationships/hyperlink" Target="https://www.vogue.es/" TargetMode="External"/><Relationship Id="rId32" Type="http://schemas.openxmlformats.org/officeDocument/2006/relationships/hyperlink" Target="https://posttastebytrina.substack.com/" TargetMode="External"/><Relationship Id="rId33" Type="http://schemas.openxmlformats.org/officeDocument/2006/relationships/hyperlink" Target="https://styleanalytics.substack.com/about" TargetMode="External"/><Relationship Id="rId34" Type="http://schemas.openxmlformats.org/officeDocument/2006/relationships/hyperlink" Target="https://backrow.net/" TargetMode="External"/><Relationship Id="rId35" Type="http://schemas.openxmlformats.org/officeDocument/2006/relationships/hyperlink" Target="https://cnnpressroom.blogs.cnn.com/" TargetMode="External"/><Relationship Id="rId36" Type="http://schemas.openxmlformats.org/officeDocument/2006/relationships/hyperlink" Target="https://puck.news/line-sheet" TargetMode="External"/><Relationship Id="rId37" Type="http://schemas.openxmlformats.org/officeDocument/2006/relationships/hyperlink" Target="https://emiliapetrarca.substack.com/about" TargetMode="External"/><Relationship Id="rId38" Type="http://schemas.openxmlformats.org/officeDocument/2006/relationships/hyperlink" Target="https://substack.com/" TargetMode="External"/><Relationship Id="rId39" Type="http://schemas.openxmlformats.org/officeDocument/2006/relationships/hyperlink" Target="https://www.businessoffashion.com/" TargetMode="External"/><Relationship Id="rId40" Type="http://schemas.openxmlformats.org/officeDocument/2006/relationships/hyperlink" Target="https://www.glossy.co/about-us" TargetMode="External"/><Relationship Id="rId41" Type="http://schemas.openxmlformats.org/officeDocument/2006/relationships/hyperlink" Target="https://rephonic.com/podcasts/the-future-of-fashion-business" TargetMode="External"/><Relationship Id="rId42" Type="http://schemas.openxmlformats.org/officeDocument/2006/relationships/hyperlink" Target="https://www.drapersonline.com/" TargetMode="External"/><Relationship Id="rId43" Type="http://schemas.openxmlformats.org/officeDocument/2006/relationships/hyperlink" Target="https://podcast.feedspot.com/podcasts_moda_espana/" TargetMode="External"/><Relationship Id="rId44" Type="http://schemas.openxmlformats.org/officeDocument/2006/relationships/hyperlink" Target="https://articlesofinterest.substack.com/" TargetMode="External"/><Relationship Id="rId45" Type="http://schemas.openxmlformats.org/officeDocument/2006/relationships/hyperlink" Target="https://bsky.app/search?q=%23journorequest" TargetMode="External"/><Relationship Id="rId46" Type="http://schemas.openxmlformats.org/officeDocument/2006/relationships/hyperlink" Target="https://www.helpareporter.com/" TargetMode="External"/><Relationship Id="rId47" Type="http://schemas.openxmlformats.org/officeDocument/2006/relationships/hyperlink" Target="https://www.qwoted.com/" TargetMode="External"/><Relationship Id="rId48" Type="http://schemas.openxmlformats.org/officeDocument/2006/relationships/hyperlink" Target="https://www.sourceofsources.com/" TargetMode="External"/><Relationship Id="rId49"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lyst.com/about/press/" TargetMode="External"/><Relationship Id="rId2" Type="http://schemas.openxmlformats.org/officeDocument/2006/relationships/hyperlink" Target="https://www.lyst.com/the-lyst-index/" TargetMode="External"/><Relationship Id="rId3" Type="http://schemas.openxmlformats.org/officeDocument/2006/relationships/hyperlink" Target="https://newsroom.pinterest.com/en-gb/contact/" TargetMode="External"/><Relationship Id="rId4" Type="http://schemas.openxmlformats.org/officeDocument/2006/relationships/hyperlink" Target="https://newsroom.pinterest.com/nl/contact/" TargetMode="External"/><Relationship Id="rId5" Type="http://schemas.openxmlformats.org/officeDocument/2006/relationships/hyperlink" Target="https://trendalytics.co/news" TargetMode="External"/><Relationship Id="rId6" Type="http://schemas.openxmlformats.org/officeDocument/2006/relationships/hyperlink" Target="https://trendalytics.co/about" TargetMode="External"/><Relationship Id="rId7" Type="http://schemas.openxmlformats.org/officeDocument/2006/relationships/hyperlink" Target="https://www.wgsn.com/en/wgsn/newsroom" TargetMode="External"/><Relationship Id="rId8" Type="http://schemas.openxmlformats.org/officeDocument/2006/relationships/hyperlink" Target="https://www.wgsn.com/en/press/" TargetMode="External"/><Relationship Id="rId9" Type="http://schemas.openxmlformats.org/officeDocument/2006/relationships/hyperlink" Target="https://edited.com/contact-us/" TargetMode="External"/><Relationship Id="rId10" Type="http://schemas.openxmlformats.org/officeDocument/2006/relationships/hyperlink" Target="https://edited.com/" TargetMode="External"/><Relationship Id="rId11" Type="http://schemas.openxmlformats.org/officeDocument/2006/relationships/hyperlink" Target="https://heuritech.com/press/" TargetMode="External"/><Relationship Id="rId12" Type="http://schemas.openxmlformats.org/officeDocument/2006/relationships/hyperlink" Target="https://heuritech.com/press/" TargetMode="External"/><Relationship Id="rId13" Type="http://schemas.openxmlformats.org/officeDocument/2006/relationships/hyperlink" Target="https://www.launchmetrics.com/newsroom/launchmetrics-10-years" TargetMode="External"/><Relationship Id="rId14" Type="http://schemas.openxmlformats.org/officeDocument/2006/relationships/hyperlink" Target="https://launchmetrics.com/media-impact-value-usage" TargetMode="External"/><Relationship Id="rId15" Type="http://schemas.openxmlformats.org/officeDocument/2006/relationships/hyperlink" Target="https://spate.nyc/" TargetMode="External"/><Relationship Id="rId16" Type="http://schemas.openxmlformats.org/officeDocument/2006/relationships/hyperlink" Target="https://www.tag-walk.com/en/page/contact" TargetMode="External"/><Relationship Id="rId17" Type="http://schemas.openxmlformats.org/officeDocument/2006/relationships/hyperlink" Target="https://www.tag-walk.com/en/brand-visibility" TargetMode="External"/><Relationship Id="rId18" Type="http://schemas.openxmlformats.org/officeDocument/2006/relationships/hyperlink" Target="https://news.depop.com/" TargetMode="External"/><Relationship Id="rId19" Type="http://schemas.openxmlformats.org/officeDocument/2006/relationships/hyperlink" Target="https://pages.businessoffashion.com/voices-2026/" TargetMode="External"/><Relationship Id="rId20" Type="http://schemas.openxmlformats.org/officeDocument/2006/relationships/hyperlink" Target="https://londonfashionweek.co.uk/trade" TargetMode="External"/><Relationship Id="rId21" Type="http://schemas.openxmlformats.org/officeDocument/2006/relationships/hyperlink" Target="https://www.retail-week.com/events" TargetMode="External"/><Relationship Id="rId22" Type="http://schemas.openxmlformats.org/officeDocument/2006/relationships/hyperlink" Target="https://sessionize.com/data-science-london-meetup/" TargetMode="External"/><Relationship Id="rId23" Type="http://schemas.openxmlformats.org/officeDocument/2006/relationships/hyperlink" Target="https://mapp.com/cmp/fashion-decoded-2026-replay-hub/" TargetMode="External"/><Relationship Id="rId24" Type="http://schemas.openxmlformats.org/officeDocument/2006/relationships/hyperlink" Target="https://www.arts.ac.uk/colleges/london-college-of-fashion/stories/fashion-business-school-industry-day" TargetMode="External"/><Relationship Id="rId25" Type="http://schemas.openxmlformats.org/officeDocument/2006/relationships/hyperlink" Target="https://pretalx.com/pydata-london-2026/cfp" TargetMode="External"/><Relationship Id="rId26" Type="http://schemas.openxmlformats.org/officeDocument/2006/relationships/hyperlink" Target="https://womenindata.co.uk/" TargetMode="External"/><Relationship Id="rId27"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webwire.com/ViewPressRel.asp?aId=358636" TargetMode="External"/><Relationship Id="rId2" Type="http://schemas.openxmlformats.org/officeDocument/2006/relationships/hyperlink" Target="https://www.fipp.com/news/harpers-bazaars-women-of-the-year-awards-return-for-2025/" TargetMode="External"/><Relationship Id="rId3" Type="http://schemas.openxmlformats.org/officeDocument/2006/relationships/hyperlink" Target="https://inpublishing.co.uk/articles/british-gq-men-of-the-year-returns-24744" TargetMode="External"/><Relationship Id="rId4" Type="http://schemas.openxmlformats.org/officeDocument/2006/relationships/hyperlink" Target="https://fashionunited.uk/news/fashion/fashion-trust-arabia-names-2025-prize-winners-in-qatar/2025120185142" TargetMode="External"/><Relationship Id="rId5" Type="http://schemas.openxmlformats.org/officeDocument/2006/relationships/hyperlink" Target="https://cfda.com/news/save-the-date-the-cfda-fashion-awards-presented-by-amazon-fashion-are-set-for-nov-2/" TargetMode="External"/><Relationship Id="rId6" Type="http://schemas.openxmlformats.org/officeDocument/2006/relationships/hyperlink" Target="https://english.rvo.nl/events/web-summit-2026-lisbon" TargetMode="External"/><Relationship Id="rId7" Type="http://schemas.openxmlformats.org/officeDocument/2006/relationships/hyperlink" Target="https://www.sussexexpress.co.uk/business/eastbourne-based-business-shortlisted-for-fashion-industry-leading-award-9253997" TargetMode="External"/><Relationship Id="rId8" Type="http://schemas.openxmlformats.org/officeDocument/2006/relationships/hyperlink" Target="https://fashionunited.uk/news/fashion/bfc-announces-fashion-awards-2026-nominees/2026091690370" TargetMode="External"/><Relationship Id="rId9" Type="http://schemas.openxmlformats.org/officeDocument/2006/relationships/hyperlink" Target="https://copenhagenfashionweek.com/application/show-presentation-schedule-information" TargetMode="External"/><Relationship Id="rId10" Type="http://schemas.openxmlformats.org/officeDocument/2006/relationships/hyperlink" Target="https://londonfashionweek.co.uk/accreditation-criteria" TargetMode="External"/><Relationship Id="rId11" Type="http://schemas.openxmlformats.org/officeDocument/2006/relationships/hyperlink" Target="https://pages.businessoffashion.com/voices-2026/" TargetMode="External"/><Relationship Id="rId12" Type="http://schemas.openxmlformats.org/officeDocument/2006/relationships/hyperlink" Target="https://retailboss.co/events/nrf-2027-retails-big-show/" TargetMode="External"/><Relationship Id="rId13" Type="http://schemas.openxmlformats.org/officeDocument/2006/relationships/hyperlink" Target="https://thesybarite.co/experiences/milan-fashion-week-autumn-winter-2027" TargetMode="External"/><Relationship Id="rId14" Type="http://schemas.openxmlformats.org/officeDocument/2006/relationships/hyperlink" Target="https://www.fhcm.paris/en/next-dates" TargetMode="External"/><Relationship Id="rId15" Type="http://schemas.openxmlformats.org/officeDocument/2006/relationships/hyperlink" Target="https://www.fhcm.paris/en/next-dates" TargetMode="External"/><Relationship Id="rId16" Type="http://schemas.openxmlformats.org/officeDocument/2006/relationships/hyperlink" Target="https://cfda.com/news/nyfw-mens-media-retail-registration-is-open/" TargetMode="External"/><Relationship Id="rId17" Type="http://schemas.openxmlformats.org/officeDocument/2006/relationships/hyperlink" Target="https://www.britishfashioncouncil.co.uk/" TargetMode="External"/><Relationship Id="rId18" Type="http://schemas.openxmlformats.org/officeDocument/2006/relationships/hyperlink" Target="https://copenhagenfashionweek.com/" TargetMode="External"/><Relationship Id="rId19" Type="http://schemas.openxmlformats.org/officeDocument/2006/relationships/hyperlink" Target="https://www.milanofinanza.it/news/milano-un-febbraio-2027-caldo-tra-moda-e-motori-2716565" TargetMode="External"/><Relationship Id="rId20" Type="http://schemas.openxmlformats.org/officeDocument/2006/relationships/hyperlink" Target="https://www.retail-week.com/events" TargetMode="External"/><Relationship Id="rId21" Type="http://schemas.openxmlformats.org/officeDocument/2006/relationships/hyperlink" Target="https://www.lvmh.com/en/news-lvmh/2026-lvmh-prize-for-young-fashion-designers13th-edition" TargetMode="External"/><Relationship Id="rId22" Type="http://schemas.openxmlformats.org/officeDocument/2006/relationships/hyperlink" Target="https://www.fibre2fashion.com/trade-fairs/drapers-conscious-fashion-summit-2026-65414" TargetMode="External"/><Relationship Id="rId23" Type="http://schemas.openxmlformats.org/officeDocument/2006/relationships/hyperlink" Target="https://www.fhcm.paris/en/next-dates" TargetMode="External"/><Relationship Id="rId24" Type="http://schemas.openxmlformats.org/officeDocument/2006/relationships/hyperlink" Target="https://live.retail-week.com/" TargetMode="External"/><Relationship Id="rId25" Type="http://schemas.openxmlformats.org/officeDocument/2006/relationships/hyperlink" Target="https://www.beri.net/events/shoptalk-spring-2027" TargetMode="External"/><Relationship Id="rId26" Type="http://schemas.openxmlformats.org/officeDocument/2006/relationships/hyperlink" Target="https://machalliance.org/events/mapp-fashion-decoded-2026" TargetMode="External"/><Relationship Id="rId27" Type="http://schemas.openxmlformats.org/officeDocument/2006/relationships/hyperlink" Target="https://zapiet.com/events/vogue-business-summit-2026" TargetMode="External"/><Relationship Id="rId28" Type="http://schemas.openxmlformats.org/officeDocument/2006/relationships/hyperlink" Target="https://www.worldfootwear.com/events/global-fashion-summit-copenhagen-denmark-/5822.html" TargetMode="External"/><Relationship Id="rId29" Type="http://schemas.openxmlformats.org/officeDocument/2006/relationships/hyperlink" Target="https://vogue.ph/fashion/everything-you-need-to-know-met-gala-2027/" TargetMode="External"/><Relationship Id="rId30" Type="http://schemas.openxmlformats.org/officeDocument/2006/relationships/hyperlink" Target="https://pretalx.com/pydata-london-2026/cfp" TargetMode="External"/><Relationship Id="rId31" Type="http://schemas.openxmlformats.org/officeDocument/2006/relationships/hyperlink" Target="https://www.cantonfair.net/event/31439-shoptalk-europe-2027-europes-home-for-retail-innovation-1-3-june-barcelona" TargetMode="External"/><Relationship Id="rId32" Type="http://schemas.openxmlformats.org/officeDocument/2006/relationships/hyperlink" Target="https://en.cannes-france.com/offers/cannes-lions-international-festival-of-creativity-cannes-en-3657190/" TargetMode="External"/><Relationship Id="rId33" Type="http://schemas.openxmlformats.org/officeDocument/2006/relationships/hyperlink" Target="https://www.fhcm.paris/en/next-dates" TargetMode="External"/><Relationship Id="rId34" Type="http://schemas.openxmlformats.org/officeDocument/2006/relationships/hyperlink" Target="https://retailboss.co/?p=19549" TargetMode="External"/><Relationship Id="rId35" Type="http://schemas.openxmlformats.org/officeDocument/2006/relationships/hyperlink" Target="https://fashionunited.uk/news/fashion/cfda-unveils-nyfw-schedule-with-new-additions-returning-brands-and-fur-free-debut/2026070188958" TargetMode="External"/><Relationship Id="rId36" Type="http://schemas.openxmlformats.org/officeDocument/2006/relationships/hyperlink" Target="https://www.hearstmagazinesinternational.com/news/elle-uk-celebrates-the-2025-elle-style-awards/" TargetMode="External"/><Relationship Id="rId37" Type="http://schemas.openxmlformats.org/officeDocument/2006/relationships/hyperlink" Target="https://fashionunited.uk/news/fashion/lfw-ss27-bfc-announces-provisional-schedule/2026072089310" TargetMode="External"/><Relationship Id="rId38" Type="http://schemas.openxmlformats.org/officeDocument/2006/relationships/hyperlink" Target="https://www.fhcm.paris/en/next-dates" TargetMode="External"/><Relationship Id="rId39" Type="http://schemas.openxmlformats.org/officeDocument/2006/relationships/hyperlink" Target="https://www.quien.com/moda/2026/10/05/los-mejores-looks-de-la-gala-de-bof-500-2026" TargetMode="External"/><Relationship Id="rId40" Type="http://schemas.openxmlformats.org/officeDocument/2006/relationships/hyperlink" Target="https://zplatform.ai/ai-event/women-in-ai-global-summit-2027/" TargetMode="External"/><Relationship Id="rId4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3"/>
  </cols>
  <sheetData>
    <row r="1" customFormat="false" ht="22.05" hidden="false" customHeight="false" outlineLevel="0" collapsed="false">
      <c r="A1" s="1" t="s">
        <v>0</v>
      </c>
    </row>
    <row r="2" customFormat="false" ht="15" hidden="false" customHeight="false" outlineLevel="0" collapsed="false">
      <c r="A2" s="2" t="s">
        <v>1</v>
      </c>
    </row>
    <row r="3" customFormat="false" ht="3.75" hidden="false" customHeight="true" outlineLevel="0" collapsed="false">
      <c r="A3" s="3"/>
      <c r="B3" s="3"/>
      <c r="C3" s="3"/>
      <c r="D3" s="3"/>
      <c r="E3" s="3"/>
      <c r="F3" s="3"/>
      <c r="G3" s="3"/>
      <c r="H3" s="3"/>
    </row>
    <row r="5" customFormat="false" ht="16.15" hidden="false" customHeight="false" outlineLevel="0" collapsed="false">
      <c r="A5" s="4" t="s">
        <v>2</v>
      </c>
    </row>
    <row r="6" customFormat="false" ht="15" hidden="false" customHeight="false" outlineLevel="0" collapsed="false">
      <c r="A6" s="5" t="s">
        <v>3</v>
      </c>
      <c r="B6" s="6" t="s">
        <v>4</v>
      </c>
      <c r="C6" s="6" t="s">
        <v>5</v>
      </c>
      <c r="D6" s="6" t="s">
        <v>6</v>
      </c>
      <c r="E6" s="6" t="s">
        <v>7</v>
      </c>
      <c r="F6" s="6" t="s">
        <v>8</v>
      </c>
      <c r="G6" s="6" t="s">
        <v>9</v>
      </c>
      <c r="H6" s="6" t="s">
        <v>10</v>
      </c>
    </row>
    <row r="7" customFormat="false" ht="15" hidden="false" customHeight="false" outlineLevel="0" collapsed="false">
      <c r="A7" s="7" t="s">
        <v>11</v>
      </c>
      <c r="B7" s="8" t="n">
        <f aca="false">COUNTIF(Brands!$F$5:$F$82,"To pitch")</f>
        <v>38</v>
      </c>
      <c r="C7" s="8" t="n">
        <f aca="false">COUNTIF(Brands!$F$5:$F$82,"Pitched")</f>
        <v>0</v>
      </c>
      <c r="D7" s="8" t="n">
        <f aca="false">COUNTIF(Brands!$F$5:$F$82,"Followed up")</f>
        <v>0</v>
      </c>
      <c r="E7" s="8" t="n">
        <f aca="false">COUNTIF(Brands!$F$5:$F$82,"Replied")</f>
        <v>0</v>
      </c>
      <c r="F7" s="8" t="n">
        <f aca="false">COUNTIF(Brands!$F$5:$F$82,"Booked")</f>
        <v>0</v>
      </c>
      <c r="G7" s="8" t="n">
        <f aca="false">COUNTIF(Brands!$F$5:$F$82,"Declined")</f>
        <v>0</v>
      </c>
      <c r="H7" s="9" t="n">
        <f aca="false">COUNTA(Brands!$A$5:$A$82)</f>
        <v>38</v>
      </c>
    </row>
    <row r="8" customFormat="false" ht="15" hidden="false" customHeight="false" outlineLevel="0" collapsed="false">
      <c r="A8" s="7" t="s">
        <v>12</v>
      </c>
      <c r="B8" s="8" t="n">
        <f aca="false">COUNTIF(Media!$F$5:$F$81,"To pitch")</f>
        <v>37</v>
      </c>
      <c r="C8" s="8" t="n">
        <f aca="false">COUNTIF(Media!$F$5:$F$81,"Pitched")</f>
        <v>0</v>
      </c>
      <c r="D8" s="8" t="n">
        <f aca="false">COUNTIF(Media!$F$5:$F$81,"Followed up")</f>
        <v>0</v>
      </c>
      <c r="E8" s="8" t="n">
        <f aca="false">COUNTIF(Media!$F$5:$F$81,"Replied")</f>
        <v>0</v>
      </c>
      <c r="F8" s="8" t="n">
        <f aca="false">COUNTIF(Media!$F$5:$F$81,"Booked")</f>
        <v>0</v>
      </c>
      <c r="G8" s="8" t="n">
        <f aca="false">COUNTIF(Media!$F$5:$F$81,"Declined")</f>
        <v>0</v>
      </c>
      <c r="H8" s="9" t="n">
        <f aca="false">COUNTA(Media!$A$5:$A$81)</f>
        <v>37</v>
      </c>
    </row>
    <row r="9" customFormat="false" ht="15" hidden="false" customHeight="false" outlineLevel="0" collapsed="false">
      <c r="A9" s="7" t="s">
        <v>13</v>
      </c>
      <c r="B9" s="8" t="n">
        <f aca="false">COUNTIF('Partners &amp; Speaking'!$F$5:$F$63,"To pitch")</f>
        <v>19</v>
      </c>
      <c r="C9" s="8" t="n">
        <f aca="false">COUNTIF('Partners &amp; Speaking'!$F$5:$F$63,"Pitched")</f>
        <v>0</v>
      </c>
      <c r="D9" s="8" t="n">
        <f aca="false">COUNTIF('Partners &amp; Speaking'!$F$5:$F$63,"Followed up")</f>
        <v>0</v>
      </c>
      <c r="E9" s="8" t="n">
        <f aca="false">COUNTIF('Partners &amp; Speaking'!$F$5:$F$63,"Replied")</f>
        <v>0</v>
      </c>
      <c r="F9" s="8" t="n">
        <f aca="false">COUNTIF('Partners &amp; Speaking'!$F$5:$F$63,"Booked")</f>
        <v>0</v>
      </c>
      <c r="G9" s="8" t="n">
        <f aca="false">COUNTIF('Partners &amp; Speaking'!$F$5:$F$63,"Declined")</f>
        <v>0</v>
      </c>
      <c r="H9" s="9" t="n">
        <f aca="false">COUNTA('Partners &amp; Speaking'!$A$5:$A$63)</f>
        <v>19</v>
      </c>
    </row>
    <row r="10" customFormat="false" ht="15" hidden="false" customHeight="false" outlineLevel="0" collapsed="false">
      <c r="A10" s="10" t="s">
        <v>14</v>
      </c>
      <c r="B10" s="11" t="n">
        <f aca="false">SUM(B7:B9)</f>
        <v>94</v>
      </c>
      <c r="C10" s="11" t="n">
        <f aca="false">SUM(C7:C9)</f>
        <v>0</v>
      </c>
      <c r="D10" s="11" t="n">
        <f aca="false">SUM(D7:D9)</f>
        <v>0</v>
      </c>
      <c r="E10" s="11" t="n">
        <f aca="false">SUM(E7:E9)</f>
        <v>0</v>
      </c>
      <c r="F10" s="11" t="n">
        <f aca="false">SUM(F7:F9)</f>
        <v>0</v>
      </c>
      <c r="G10" s="11" t="n">
        <f aca="false">SUM(G7:G9)</f>
        <v>0</v>
      </c>
      <c r="H10" s="11" t="n">
        <f aca="false">SUM(H7:H9)</f>
        <v>94</v>
      </c>
    </row>
    <row r="12" customFormat="false" ht="16.15" hidden="false" customHeight="false" outlineLevel="0" collapsed="false">
      <c r="A12" s="4" t="s">
        <v>15</v>
      </c>
    </row>
    <row r="13" customFormat="false" ht="15" hidden="false" customHeight="false" outlineLevel="0" collapsed="false">
      <c r="A13" s="5" t="s">
        <v>16</v>
      </c>
      <c r="B13" s="6" t="s">
        <v>17</v>
      </c>
      <c r="C13" s="6" t="s">
        <v>18</v>
      </c>
      <c r="D13" s="6" t="s">
        <v>19</v>
      </c>
      <c r="E13" s="6" t="s">
        <v>20</v>
      </c>
      <c r="F13" s="6" t="s">
        <v>21</v>
      </c>
      <c r="G13" s="6" t="s">
        <v>22</v>
      </c>
    </row>
    <row r="14" customFormat="false" ht="15" hidden="false" customHeight="false" outlineLevel="0" collapsed="false">
      <c r="A14" s="7" t="s">
        <v>15</v>
      </c>
      <c r="B14" s="8" t="n">
        <f aca="false">COUNTIF(Events!$G$5:$G$74,"Want to go")</f>
        <v>40</v>
      </c>
      <c r="C14" s="8" t="n">
        <f aca="false">COUNTIF(Events!$G$5:$G$74,"Applied")</f>
        <v>0</v>
      </c>
      <c r="D14" s="8" t="n">
        <f aca="false">COUNTIF(Events!$G$5:$G$74,"Invited")</f>
        <v>0</v>
      </c>
      <c r="E14" s="8" t="n">
        <f aca="false">COUNTIF(Events!$G$5:$G$74,"Going")</f>
        <v>0</v>
      </c>
      <c r="F14" s="8" t="n">
        <f aca="false">COUNTIF(Events!$G$5:$G$74,"Went")</f>
        <v>0</v>
      </c>
      <c r="G14" s="8" t="n">
        <f aca="false">COUNTIF(Events!$G$5:$G$74,"Skip")</f>
        <v>0</v>
      </c>
    </row>
    <row r="15" customFormat="false" ht="15" hidden="false" customHeight="false" outlineLevel="0" collapsed="false">
      <c r="A15" s="12" t="s">
        <v>23</v>
      </c>
      <c r="B15" s="12" t="n">
        <f aca="true">SUMPRODUCT((Brands!$H$5:$H$82&lt;&gt;"")*(Brands!$H$5:$H$82&lt;=TODAY())*(Brands!$F$5:$F$82="Pitched"))+SUMPRODUCT((Brands!$H$5:$H$82&lt;&gt;"")*(Brands!$H$5:$H$82&lt;=TODAY())*(Brands!$F$5:$F$82="Followed up"))+SUMPRODUCT((Media!$H$5:$H$81&lt;&gt;"")*(Media!$H$5:$H$81&lt;=TODAY())*(Media!$F$5:$F$81="Pitched"))+SUMPRODUCT((Media!$H$5:$H$81&lt;&gt;"")*(Media!$H$5:$H$81&lt;=TODAY())*(Media!$F$5:$F$81="Followed up"))+SUMPRODUCT(('Partners &amp; Speaking'!$H$5:$H$63&lt;&gt;"")*('Partners &amp; Speaking'!$H$5:$H$63&lt;=TODAY())*('Partners &amp; Speaking'!$F$5:$F$63="Pitched"))+SUMPRODUCT(('Partners &amp; Speaking'!$H$5:$H$63&lt;&gt;"")*('Partners &amp; Speaking'!$H$5:$H$63&lt;=TODAY())*('Partners &amp; Speaking'!$F$5:$F$63="Followed up"))</f>
        <v>0</v>
      </c>
      <c r="C15" s="13" t="s">
        <v>24</v>
      </c>
    </row>
    <row r="17" customFormat="false" ht="16.15" hidden="false" customHeight="false" outlineLevel="0" collapsed="false">
      <c r="A17" s="4" t="s">
        <v>25</v>
      </c>
    </row>
    <row r="18" customFormat="false" ht="30" hidden="false" customHeight="true" outlineLevel="0" collapsed="false">
      <c r="A18" s="14" t="s">
        <v>26</v>
      </c>
      <c r="B18" s="14"/>
      <c r="C18" s="14"/>
      <c r="D18" s="14"/>
      <c r="E18" s="14"/>
      <c r="F18" s="14"/>
      <c r="G18" s="14"/>
      <c r="H18" s="14"/>
    </row>
    <row r="19" customFormat="false" ht="30" hidden="false" customHeight="true" outlineLevel="0" collapsed="false">
      <c r="A19" s="14" t="s">
        <v>27</v>
      </c>
      <c r="B19" s="14"/>
      <c r="C19" s="14"/>
      <c r="D19" s="14"/>
      <c r="E19" s="14"/>
      <c r="F19" s="14"/>
      <c r="G19" s="14"/>
      <c r="H19" s="14"/>
    </row>
    <row r="20" customFormat="false" ht="30" hidden="false" customHeight="true" outlineLevel="0" collapsed="false">
      <c r="A20" s="14" t="s">
        <v>28</v>
      </c>
      <c r="B20" s="14"/>
      <c r="C20" s="14"/>
      <c r="D20" s="14"/>
      <c r="E20" s="14"/>
      <c r="F20" s="14"/>
      <c r="G20" s="14"/>
      <c r="H20" s="14"/>
    </row>
    <row r="21" customFormat="false" ht="30" hidden="false" customHeight="true" outlineLevel="0" collapsed="false">
      <c r="A21" s="14" t="s">
        <v>29</v>
      </c>
      <c r="B21" s="14"/>
      <c r="C21" s="14"/>
      <c r="D21" s="14"/>
      <c r="E21" s="14"/>
      <c r="F21" s="14"/>
      <c r="G21" s="14"/>
      <c r="H21" s="14"/>
    </row>
    <row r="22" customFormat="false" ht="30" hidden="false" customHeight="true" outlineLevel="0" collapsed="false">
      <c r="A22" s="14" t="s">
        <v>30</v>
      </c>
      <c r="B22" s="14"/>
      <c r="C22" s="14"/>
      <c r="D22" s="14"/>
      <c r="E22" s="14"/>
      <c r="F22" s="14"/>
      <c r="G22" s="14"/>
      <c r="H22" s="14"/>
    </row>
    <row r="23" customFormat="false" ht="30" hidden="false" customHeight="true" outlineLevel="0" collapsed="false">
      <c r="A23" s="14" t="s">
        <v>31</v>
      </c>
      <c r="B23" s="14"/>
      <c r="C23" s="14"/>
      <c r="D23" s="14"/>
      <c r="E23" s="14"/>
      <c r="F23" s="14"/>
      <c r="G23" s="14"/>
      <c r="H23" s="14"/>
    </row>
    <row r="24" customFormat="false" ht="30" hidden="false" customHeight="true" outlineLevel="0" collapsed="false">
      <c r="A24" s="14" t="s">
        <v>32</v>
      </c>
      <c r="B24" s="14"/>
      <c r="C24" s="14"/>
      <c r="D24" s="14"/>
      <c r="E24" s="14"/>
      <c r="F24" s="14"/>
      <c r="G24" s="14"/>
      <c r="H24" s="14"/>
    </row>
    <row r="26" customFormat="false" ht="16.15" hidden="false" customHeight="false" outlineLevel="0" collapsed="false">
      <c r="A26" s="4" t="s">
        <v>33</v>
      </c>
    </row>
    <row r="27" customFormat="false" ht="15" hidden="false" customHeight="true" outlineLevel="0" collapsed="false">
      <c r="A27" s="14" t="s">
        <v>34</v>
      </c>
      <c r="B27" s="14"/>
      <c r="C27" s="14"/>
      <c r="D27" s="14"/>
      <c r="E27" s="14"/>
      <c r="F27" s="14"/>
      <c r="G27" s="14"/>
      <c r="H27" s="14"/>
    </row>
    <row r="28" customFormat="false" ht="15" hidden="false" customHeight="true" outlineLevel="0" collapsed="false">
      <c r="A28" s="14" t="s">
        <v>35</v>
      </c>
      <c r="B28" s="14"/>
      <c r="C28" s="14"/>
      <c r="D28" s="14"/>
      <c r="E28" s="14"/>
      <c r="F28" s="14"/>
      <c r="G28" s="14"/>
      <c r="H28" s="14"/>
    </row>
    <row r="29" customFormat="false" ht="15" hidden="false" customHeight="true" outlineLevel="0" collapsed="false">
      <c r="A29" s="14" t="s">
        <v>36</v>
      </c>
      <c r="B29" s="14"/>
      <c r="C29" s="14"/>
      <c r="D29" s="14"/>
      <c r="E29" s="14"/>
      <c r="F29" s="14"/>
      <c r="G29" s="14"/>
      <c r="H29" s="14"/>
    </row>
    <row r="30" customFormat="false" ht="15" hidden="false" customHeight="true" outlineLevel="0" collapsed="false">
      <c r="A30" s="14" t="s">
        <v>37</v>
      </c>
      <c r="B30" s="14"/>
      <c r="C30" s="14"/>
      <c r="D30" s="14"/>
      <c r="E30" s="14"/>
      <c r="F30" s="14"/>
      <c r="G30" s="14"/>
      <c r="H30" s="14"/>
    </row>
    <row r="31" customFormat="false" ht="15" hidden="false" customHeight="true" outlineLevel="0" collapsed="false">
      <c r="A31" s="14" t="s">
        <v>38</v>
      </c>
      <c r="B31" s="14"/>
      <c r="C31" s="14"/>
      <c r="D31" s="14"/>
      <c r="E31" s="14"/>
      <c r="F31" s="14"/>
      <c r="G31" s="14"/>
      <c r="H31" s="14"/>
    </row>
  </sheetData>
  <mergeCells count="12">
    <mergeCell ref="A18:H18"/>
    <mergeCell ref="A19:H19"/>
    <mergeCell ref="A20:H20"/>
    <mergeCell ref="A21:H21"/>
    <mergeCell ref="A22:H22"/>
    <mergeCell ref="A23:H23"/>
    <mergeCell ref="A24:H24"/>
    <mergeCell ref="A27:H27"/>
    <mergeCell ref="A28:H28"/>
    <mergeCell ref="A29:H29"/>
    <mergeCell ref="A30:H30"/>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3"/>
    <col collapsed="false" customWidth="true" hidden="false" outlineLevel="0" max="4" min="4" style="0" width="11"/>
    <col collapsed="false" customWidth="true" hidden="false" outlineLevel="0" max="5" min="5" style="0" width="9"/>
    <col collapsed="false" customWidth="true" hidden="false" outlineLevel="0" max="6" min="6" style="0" width="13"/>
    <col collapsed="false" customWidth="true" hidden="false" outlineLevel="0" max="8" min="7" style="0" width="12"/>
    <col collapsed="false" customWidth="true" hidden="false" outlineLevel="0" max="9" min="9" style="0" width="36"/>
    <col collapsed="false" customWidth="true" hidden="false" outlineLevel="0" max="10" min="10" style="0" width="30"/>
    <col collapsed="false" customWidth="true" hidden="false" outlineLevel="0" max="11" min="11" style="0" width="44"/>
    <col collapsed="false" customWidth="true" hidden="false" outlineLevel="0" max="12" min="12" style="0" width="40"/>
    <col collapsed="false" customWidth="true" hidden="false" outlineLevel="0" max="13" min="13" style="0" width="36"/>
    <col collapsed="false" customWidth="true" hidden="false" outlineLevel="0" max="14" min="14" style="0" width="30"/>
    <col collapsed="false" customWidth="true" hidden="false" outlineLevel="0" max="15" min="15" style="0" width="26"/>
    <col collapsed="false" customWidth="true" hidden="false" outlineLevel="0" max="16" min="16" style="0" width="36"/>
  </cols>
  <sheetData>
    <row r="1" customFormat="false" ht="27.75" hidden="false" customHeight="true" outlineLevel="0" collapsed="false">
      <c r="A1" s="1" t="s">
        <v>11</v>
      </c>
    </row>
    <row r="2" customFormat="false" ht="15" hidden="false" customHeight="false" outlineLevel="0" collapsed="false">
      <c r="A2" s="2" t="s">
        <v>39</v>
      </c>
    </row>
    <row r="3" customFormat="false" ht="3.75" hidden="false" customHeight="true" outlineLevel="0" collapsed="false">
      <c r="A3" s="3"/>
      <c r="B3" s="3"/>
      <c r="C3" s="3"/>
      <c r="D3" s="3"/>
      <c r="E3" s="3"/>
      <c r="F3" s="3"/>
      <c r="G3" s="3"/>
      <c r="H3" s="3"/>
      <c r="I3" s="3"/>
      <c r="J3" s="3"/>
      <c r="K3" s="3"/>
      <c r="L3" s="3"/>
      <c r="M3" s="3"/>
      <c r="N3" s="3"/>
      <c r="O3" s="3"/>
      <c r="P3" s="3"/>
    </row>
    <row r="4" customFormat="false" ht="30" hidden="false" customHeight="true" outlineLevel="0" collapsed="false">
      <c r="A4" s="15" t="s">
        <v>40</v>
      </c>
      <c r="B4" s="15" t="s">
        <v>41</v>
      </c>
      <c r="C4" s="15" t="s">
        <v>42</v>
      </c>
      <c r="D4" s="15" t="s">
        <v>43</v>
      </c>
      <c r="E4" s="15" t="s">
        <v>44</v>
      </c>
      <c r="F4" s="15" t="s">
        <v>16</v>
      </c>
      <c r="G4" s="15" t="s">
        <v>45</v>
      </c>
      <c r="H4" s="15" t="s">
        <v>46</v>
      </c>
      <c r="I4" s="15" t="s">
        <v>47</v>
      </c>
      <c r="J4" s="15" t="s">
        <v>48</v>
      </c>
      <c r="K4" s="15" t="s">
        <v>49</v>
      </c>
      <c r="L4" s="15" t="s">
        <v>50</v>
      </c>
      <c r="M4" s="15" t="s">
        <v>51</v>
      </c>
      <c r="N4" s="15" t="s">
        <v>52</v>
      </c>
      <c r="O4" s="15" t="s">
        <v>53</v>
      </c>
      <c r="P4" s="15" t="s">
        <v>54</v>
      </c>
    </row>
    <row r="5" customFormat="false" ht="35.05" hidden="false" customHeight="false" outlineLevel="0" collapsed="false">
      <c r="A5" s="16" t="s">
        <v>55</v>
      </c>
      <c r="B5" s="17" t="s">
        <v>56</v>
      </c>
      <c r="C5" s="17" t="s">
        <v>57</v>
      </c>
      <c r="D5" s="17" t="s">
        <v>58</v>
      </c>
      <c r="E5" s="17" t="s">
        <v>59</v>
      </c>
      <c r="F5" s="18" t="s">
        <v>4</v>
      </c>
      <c r="G5" s="19"/>
      <c r="H5" s="20" t="str">
        <f aca="false">IF(G5="","",G5+7)</f>
        <v/>
      </c>
      <c r="I5" s="17" t="s">
        <v>60</v>
      </c>
      <c r="J5" s="21" t="s">
        <v>61</v>
      </c>
      <c r="K5" s="17" t="s">
        <v>62</v>
      </c>
      <c r="L5" s="17" t="s">
        <v>63</v>
      </c>
      <c r="M5" s="17" t="s">
        <v>64</v>
      </c>
      <c r="N5" s="21" t="s">
        <v>65</v>
      </c>
      <c r="O5" s="17" t="s">
        <v>66</v>
      </c>
      <c r="P5" s="17"/>
    </row>
    <row r="6" customFormat="false" ht="57.45" hidden="false" customHeight="false" outlineLevel="0" collapsed="false">
      <c r="A6" s="16" t="s">
        <v>67</v>
      </c>
      <c r="B6" s="17" t="s">
        <v>56</v>
      </c>
      <c r="C6" s="17" t="s">
        <v>68</v>
      </c>
      <c r="D6" s="17" t="s">
        <v>69</v>
      </c>
      <c r="E6" s="17" t="s">
        <v>59</v>
      </c>
      <c r="F6" s="18" t="s">
        <v>4</v>
      </c>
      <c r="G6" s="19"/>
      <c r="H6" s="20" t="str">
        <f aca="false">IF(G6="","",G6+7)</f>
        <v/>
      </c>
      <c r="I6" s="17" t="s">
        <v>70</v>
      </c>
      <c r="J6" s="21" t="s">
        <v>71</v>
      </c>
      <c r="K6" s="17" t="s">
        <v>72</v>
      </c>
      <c r="L6" s="17" t="s">
        <v>73</v>
      </c>
      <c r="M6" s="17" t="s">
        <v>74</v>
      </c>
      <c r="N6" s="21" t="s">
        <v>75</v>
      </c>
      <c r="O6" s="17" t="s">
        <v>66</v>
      </c>
      <c r="P6" s="17" t="s">
        <v>76</v>
      </c>
    </row>
    <row r="7" customFormat="false" ht="35.05" hidden="false" customHeight="false" outlineLevel="0" collapsed="false">
      <c r="A7" s="16" t="s">
        <v>77</v>
      </c>
      <c r="B7" s="17" t="s">
        <v>56</v>
      </c>
      <c r="C7" s="17" t="s">
        <v>57</v>
      </c>
      <c r="D7" s="17" t="s">
        <v>78</v>
      </c>
      <c r="E7" s="17" t="s">
        <v>59</v>
      </c>
      <c r="F7" s="18" t="s">
        <v>4</v>
      </c>
      <c r="G7" s="19"/>
      <c r="H7" s="20" t="str">
        <f aca="false">IF(G7="","",G7+7)</f>
        <v/>
      </c>
      <c r="I7" s="17" t="s">
        <v>79</v>
      </c>
      <c r="J7" s="21" t="s">
        <v>80</v>
      </c>
      <c r="K7" s="17" t="s">
        <v>81</v>
      </c>
      <c r="L7" s="17" t="s">
        <v>82</v>
      </c>
      <c r="M7" s="17" t="s">
        <v>64</v>
      </c>
      <c r="N7" s="21" t="s">
        <v>83</v>
      </c>
      <c r="O7" s="17" t="s">
        <v>66</v>
      </c>
      <c r="P7" s="17" t="s">
        <v>84</v>
      </c>
    </row>
    <row r="8" customFormat="false" ht="35.05" hidden="false" customHeight="false" outlineLevel="0" collapsed="false">
      <c r="A8" s="16" t="s">
        <v>85</v>
      </c>
      <c r="B8" s="17" t="s">
        <v>56</v>
      </c>
      <c r="C8" s="17" t="s">
        <v>68</v>
      </c>
      <c r="D8" s="17" t="s">
        <v>69</v>
      </c>
      <c r="E8" s="17" t="s">
        <v>59</v>
      </c>
      <c r="F8" s="18" t="s">
        <v>4</v>
      </c>
      <c r="G8" s="19"/>
      <c r="H8" s="20" t="str">
        <f aca="false">IF(G8="","",G8+7)</f>
        <v/>
      </c>
      <c r="I8" s="17" t="s">
        <v>86</v>
      </c>
      <c r="J8" s="21" t="s">
        <v>87</v>
      </c>
      <c r="K8" s="17" t="s">
        <v>88</v>
      </c>
      <c r="L8" s="17" t="s">
        <v>89</v>
      </c>
      <c r="M8" s="17" t="s">
        <v>90</v>
      </c>
      <c r="N8" s="21" t="s">
        <v>91</v>
      </c>
      <c r="O8" s="17"/>
      <c r="P8" s="17"/>
    </row>
    <row r="9" customFormat="false" ht="23.85" hidden="false" customHeight="false" outlineLevel="0" collapsed="false">
      <c r="A9" s="16" t="s">
        <v>92</v>
      </c>
      <c r="B9" s="17" t="s">
        <v>56</v>
      </c>
      <c r="C9" s="17" t="s">
        <v>57</v>
      </c>
      <c r="D9" s="17" t="s">
        <v>69</v>
      </c>
      <c r="E9" s="17" t="s">
        <v>59</v>
      </c>
      <c r="F9" s="18" t="s">
        <v>4</v>
      </c>
      <c r="G9" s="19"/>
      <c r="H9" s="20" t="str">
        <f aca="false">IF(G9="","",G9+7)</f>
        <v/>
      </c>
      <c r="I9" s="17" t="s">
        <v>93</v>
      </c>
      <c r="J9" s="21" t="s">
        <v>94</v>
      </c>
      <c r="K9" s="17" t="s">
        <v>95</v>
      </c>
      <c r="L9" s="17" t="s">
        <v>96</v>
      </c>
      <c r="M9" s="17" t="s">
        <v>97</v>
      </c>
      <c r="N9" s="21" t="s">
        <v>98</v>
      </c>
      <c r="O9" s="17" t="s">
        <v>66</v>
      </c>
      <c r="P9" s="17"/>
    </row>
    <row r="10" customFormat="false" ht="23.85" hidden="false" customHeight="false" outlineLevel="0" collapsed="false">
      <c r="A10" s="16" t="s">
        <v>99</v>
      </c>
      <c r="B10" s="17" t="s">
        <v>56</v>
      </c>
      <c r="C10" s="17" t="s">
        <v>57</v>
      </c>
      <c r="D10" s="17" t="s">
        <v>69</v>
      </c>
      <c r="E10" s="17" t="s">
        <v>59</v>
      </c>
      <c r="F10" s="18" t="s">
        <v>4</v>
      </c>
      <c r="G10" s="19"/>
      <c r="H10" s="20" t="str">
        <f aca="false">IF(G10="","",G10+7)</f>
        <v/>
      </c>
      <c r="I10" s="17" t="s">
        <v>100</v>
      </c>
      <c r="J10" s="21" t="s">
        <v>101</v>
      </c>
      <c r="K10" s="17" t="s">
        <v>102</v>
      </c>
      <c r="L10" s="17" t="s">
        <v>103</v>
      </c>
      <c r="M10" s="17" t="s">
        <v>104</v>
      </c>
      <c r="N10" s="21" t="s">
        <v>105</v>
      </c>
      <c r="O10" s="17" t="s">
        <v>66</v>
      </c>
      <c r="P10" s="17" t="s">
        <v>106</v>
      </c>
    </row>
    <row r="11" customFormat="false" ht="23.85" hidden="false" customHeight="false" outlineLevel="0" collapsed="false">
      <c r="A11" s="16" t="s">
        <v>107</v>
      </c>
      <c r="B11" s="17" t="s">
        <v>56</v>
      </c>
      <c r="C11" s="17" t="s">
        <v>68</v>
      </c>
      <c r="D11" s="17" t="s">
        <v>108</v>
      </c>
      <c r="E11" s="17" t="s">
        <v>59</v>
      </c>
      <c r="F11" s="18" t="s">
        <v>4</v>
      </c>
      <c r="G11" s="19"/>
      <c r="H11" s="20" t="str">
        <f aca="false">IF(G11="","",G11+7)</f>
        <v/>
      </c>
      <c r="I11" s="17" t="s">
        <v>109</v>
      </c>
      <c r="J11" s="21" t="s">
        <v>110</v>
      </c>
      <c r="K11" s="17" t="s">
        <v>111</v>
      </c>
      <c r="L11" s="17" t="s">
        <v>112</v>
      </c>
      <c r="M11" s="17" t="s">
        <v>113</v>
      </c>
      <c r="N11" s="21" t="s">
        <v>114</v>
      </c>
      <c r="O11" s="17" t="s">
        <v>66</v>
      </c>
      <c r="P11" s="17"/>
    </row>
    <row r="12" customFormat="false" ht="23.85" hidden="false" customHeight="false" outlineLevel="0" collapsed="false">
      <c r="A12" s="16" t="s">
        <v>115</v>
      </c>
      <c r="B12" s="17" t="s">
        <v>56</v>
      </c>
      <c r="C12" s="17" t="s">
        <v>57</v>
      </c>
      <c r="D12" s="17" t="s">
        <v>116</v>
      </c>
      <c r="E12" s="17" t="s">
        <v>59</v>
      </c>
      <c r="F12" s="18" t="s">
        <v>4</v>
      </c>
      <c r="G12" s="19"/>
      <c r="H12" s="20" t="str">
        <f aca="false">IF(G12="","",G12+7)</f>
        <v/>
      </c>
      <c r="I12" s="17" t="s">
        <v>117</v>
      </c>
      <c r="J12" s="21" t="s">
        <v>118</v>
      </c>
      <c r="K12" s="17" t="s">
        <v>119</v>
      </c>
      <c r="L12" s="17" t="s">
        <v>120</v>
      </c>
      <c r="M12" s="17" t="s">
        <v>64</v>
      </c>
      <c r="N12" s="21" t="s">
        <v>121</v>
      </c>
      <c r="O12" s="17" t="s">
        <v>66</v>
      </c>
      <c r="P12" s="17"/>
    </row>
    <row r="13" customFormat="false" ht="35.05" hidden="false" customHeight="false" outlineLevel="0" collapsed="false">
      <c r="A13" s="16" t="s">
        <v>122</v>
      </c>
      <c r="B13" s="17" t="s">
        <v>56</v>
      </c>
      <c r="C13" s="17" t="s">
        <v>57</v>
      </c>
      <c r="D13" s="17" t="s">
        <v>69</v>
      </c>
      <c r="E13" s="17" t="s">
        <v>59</v>
      </c>
      <c r="F13" s="18" t="s">
        <v>4</v>
      </c>
      <c r="G13" s="19"/>
      <c r="H13" s="20" t="str">
        <f aca="false">IF(G13="","",G13+7)</f>
        <v/>
      </c>
      <c r="I13" s="17" t="s">
        <v>123</v>
      </c>
      <c r="J13" s="21" t="s">
        <v>124</v>
      </c>
      <c r="K13" s="17" t="s">
        <v>125</v>
      </c>
      <c r="L13" s="17" t="s">
        <v>126</v>
      </c>
      <c r="M13" s="17" t="s">
        <v>127</v>
      </c>
      <c r="N13" s="21" t="s">
        <v>128</v>
      </c>
      <c r="O13" s="17"/>
      <c r="P13" s="17"/>
    </row>
    <row r="14" customFormat="false" ht="23.85" hidden="false" customHeight="false" outlineLevel="0" collapsed="false">
      <c r="A14" s="16" t="s">
        <v>129</v>
      </c>
      <c r="B14" s="17" t="s">
        <v>56</v>
      </c>
      <c r="C14" s="17" t="s">
        <v>57</v>
      </c>
      <c r="D14" s="17" t="s">
        <v>69</v>
      </c>
      <c r="E14" s="17" t="s">
        <v>130</v>
      </c>
      <c r="F14" s="18" t="s">
        <v>4</v>
      </c>
      <c r="G14" s="19"/>
      <c r="H14" s="20" t="str">
        <f aca="false">IF(G14="","",G14+7)</f>
        <v/>
      </c>
      <c r="I14" s="17" t="s">
        <v>131</v>
      </c>
      <c r="J14" s="21" t="s">
        <v>132</v>
      </c>
      <c r="K14" s="17" t="s">
        <v>133</v>
      </c>
      <c r="L14" s="17" t="s">
        <v>134</v>
      </c>
      <c r="M14" s="17" t="s">
        <v>113</v>
      </c>
      <c r="N14" s="21" t="s">
        <v>135</v>
      </c>
      <c r="O14" s="17" t="s">
        <v>66</v>
      </c>
      <c r="P14" s="17" t="s">
        <v>136</v>
      </c>
    </row>
    <row r="15" customFormat="false" ht="23.85" hidden="false" customHeight="false" outlineLevel="0" collapsed="false">
      <c r="A15" s="16" t="s">
        <v>137</v>
      </c>
      <c r="B15" s="17" t="s">
        <v>56</v>
      </c>
      <c r="C15" s="17" t="s">
        <v>57</v>
      </c>
      <c r="D15" s="17" t="s">
        <v>69</v>
      </c>
      <c r="E15" s="17" t="s">
        <v>130</v>
      </c>
      <c r="F15" s="18" t="s">
        <v>4</v>
      </c>
      <c r="G15" s="19"/>
      <c r="H15" s="20" t="str">
        <f aca="false">IF(G15="","",G15+7)</f>
        <v/>
      </c>
      <c r="I15" s="17" t="s">
        <v>138</v>
      </c>
      <c r="J15" s="21" t="s">
        <v>139</v>
      </c>
      <c r="K15" s="17" t="s">
        <v>140</v>
      </c>
      <c r="L15" s="17" t="s">
        <v>141</v>
      </c>
      <c r="M15" s="17" t="s">
        <v>113</v>
      </c>
      <c r="N15" s="21" t="s">
        <v>114</v>
      </c>
      <c r="O15" s="17" t="s">
        <v>66</v>
      </c>
      <c r="P15" s="17"/>
    </row>
    <row r="16" customFormat="false" ht="35.05" hidden="false" customHeight="false" outlineLevel="0" collapsed="false">
      <c r="A16" s="16" t="s">
        <v>142</v>
      </c>
      <c r="B16" s="17" t="s">
        <v>56</v>
      </c>
      <c r="C16" s="17" t="s">
        <v>57</v>
      </c>
      <c r="D16" s="17" t="s">
        <v>69</v>
      </c>
      <c r="E16" s="17" t="s">
        <v>130</v>
      </c>
      <c r="F16" s="18" t="s">
        <v>4</v>
      </c>
      <c r="G16" s="19"/>
      <c r="H16" s="20" t="str">
        <f aca="false">IF(G16="","",G16+7)</f>
        <v/>
      </c>
      <c r="I16" s="17" t="s">
        <v>143</v>
      </c>
      <c r="J16" s="21" t="s">
        <v>144</v>
      </c>
      <c r="K16" s="17" t="s">
        <v>145</v>
      </c>
      <c r="L16" s="17" t="s">
        <v>146</v>
      </c>
      <c r="M16" s="17" t="s">
        <v>147</v>
      </c>
      <c r="N16" s="21" t="s">
        <v>148</v>
      </c>
      <c r="O16" s="17" t="s">
        <v>66</v>
      </c>
      <c r="P16" s="17"/>
    </row>
    <row r="17" customFormat="false" ht="23.85" hidden="false" customHeight="false" outlineLevel="0" collapsed="false">
      <c r="A17" s="16" t="s">
        <v>149</v>
      </c>
      <c r="B17" s="17" t="s">
        <v>56</v>
      </c>
      <c r="C17" s="17" t="s">
        <v>57</v>
      </c>
      <c r="D17" s="17" t="s">
        <v>69</v>
      </c>
      <c r="E17" s="17" t="s">
        <v>130</v>
      </c>
      <c r="F17" s="18" t="s">
        <v>4</v>
      </c>
      <c r="G17" s="19"/>
      <c r="H17" s="20" t="str">
        <f aca="false">IF(G17="","",G17+7)</f>
        <v/>
      </c>
      <c r="I17" s="17"/>
      <c r="J17" s="17"/>
      <c r="K17" s="17" t="s">
        <v>150</v>
      </c>
      <c r="L17" s="17" t="s">
        <v>151</v>
      </c>
      <c r="M17" s="17" t="s">
        <v>152</v>
      </c>
      <c r="N17" s="21" t="s">
        <v>153</v>
      </c>
      <c r="O17" s="17" t="s">
        <v>66</v>
      </c>
      <c r="P17" s="17"/>
    </row>
    <row r="18" customFormat="false" ht="23.85" hidden="false" customHeight="false" outlineLevel="0" collapsed="false">
      <c r="A18" s="16" t="s">
        <v>154</v>
      </c>
      <c r="B18" s="17" t="s">
        <v>56</v>
      </c>
      <c r="C18" s="17" t="s">
        <v>68</v>
      </c>
      <c r="D18" s="17" t="s">
        <v>69</v>
      </c>
      <c r="E18" s="17" t="s">
        <v>130</v>
      </c>
      <c r="F18" s="18" t="s">
        <v>4</v>
      </c>
      <c r="G18" s="19"/>
      <c r="H18" s="20" t="str">
        <f aca="false">IF(G18="","",G18+7)</f>
        <v/>
      </c>
      <c r="I18" s="17" t="s">
        <v>155</v>
      </c>
      <c r="J18" s="21" t="s">
        <v>156</v>
      </c>
      <c r="K18" s="17" t="s">
        <v>157</v>
      </c>
      <c r="L18" s="17" t="s">
        <v>158</v>
      </c>
      <c r="M18" s="17" t="s">
        <v>64</v>
      </c>
      <c r="N18" s="21" t="s">
        <v>159</v>
      </c>
      <c r="O18" s="17" t="s">
        <v>66</v>
      </c>
      <c r="P18" s="17" t="s">
        <v>160</v>
      </c>
    </row>
    <row r="19" customFormat="false" ht="23.85" hidden="false" customHeight="false" outlineLevel="0" collapsed="false">
      <c r="A19" s="16" t="s">
        <v>161</v>
      </c>
      <c r="B19" s="17" t="s">
        <v>56</v>
      </c>
      <c r="C19" s="17" t="s">
        <v>68</v>
      </c>
      <c r="D19" s="17" t="s">
        <v>162</v>
      </c>
      <c r="E19" s="17" t="s">
        <v>130</v>
      </c>
      <c r="F19" s="18" t="s">
        <v>4</v>
      </c>
      <c r="G19" s="19"/>
      <c r="H19" s="20" t="str">
        <f aca="false">IF(G19="","",G19+7)</f>
        <v/>
      </c>
      <c r="I19" s="17"/>
      <c r="J19" s="17"/>
      <c r="K19" s="17" t="s">
        <v>163</v>
      </c>
      <c r="L19" s="17" t="s">
        <v>164</v>
      </c>
      <c r="M19" s="17" t="s">
        <v>165</v>
      </c>
      <c r="N19" s="21" t="s">
        <v>166</v>
      </c>
      <c r="O19" s="17"/>
      <c r="P19" s="17"/>
    </row>
    <row r="20" customFormat="false" ht="23.85" hidden="false" customHeight="false" outlineLevel="0" collapsed="false">
      <c r="A20" s="16" t="s">
        <v>167</v>
      </c>
      <c r="B20" s="17" t="s">
        <v>56</v>
      </c>
      <c r="C20" s="17" t="s">
        <v>57</v>
      </c>
      <c r="D20" s="17" t="s">
        <v>108</v>
      </c>
      <c r="E20" s="17" t="s">
        <v>130</v>
      </c>
      <c r="F20" s="18" t="s">
        <v>4</v>
      </c>
      <c r="G20" s="19"/>
      <c r="H20" s="20" t="str">
        <f aca="false">IF(G20="","",G20+7)</f>
        <v/>
      </c>
      <c r="I20" s="17" t="s">
        <v>168</v>
      </c>
      <c r="J20" s="21" t="s">
        <v>169</v>
      </c>
      <c r="K20" s="17" t="s">
        <v>170</v>
      </c>
      <c r="L20" s="17" t="s">
        <v>171</v>
      </c>
      <c r="M20" s="17" t="s">
        <v>113</v>
      </c>
      <c r="N20" s="21" t="s">
        <v>172</v>
      </c>
      <c r="O20" s="17" t="s">
        <v>66</v>
      </c>
      <c r="P20" s="17"/>
    </row>
    <row r="21" customFormat="false" ht="23.85" hidden="false" customHeight="false" outlineLevel="0" collapsed="false">
      <c r="A21" s="16" t="s">
        <v>173</v>
      </c>
      <c r="B21" s="17" t="s">
        <v>56</v>
      </c>
      <c r="C21" s="17" t="s">
        <v>68</v>
      </c>
      <c r="D21" s="17" t="s">
        <v>69</v>
      </c>
      <c r="E21" s="17" t="s">
        <v>130</v>
      </c>
      <c r="F21" s="18" t="s">
        <v>4</v>
      </c>
      <c r="G21" s="19"/>
      <c r="H21" s="20" t="str">
        <f aca="false">IF(G21="","",G21+7)</f>
        <v/>
      </c>
      <c r="I21" s="17" t="s">
        <v>174</v>
      </c>
      <c r="J21" s="21" t="s">
        <v>175</v>
      </c>
      <c r="K21" s="17" t="s">
        <v>176</v>
      </c>
      <c r="L21" s="17" t="s">
        <v>177</v>
      </c>
      <c r="M21" s="17" t="s">
        <v>90</v>
      </c>
      <c r="N21" s="21" t="s">
        <v>178</v>
      </c>
      <c r="O21" s="17" t="s">
        <v>66</v>
      </c>
      <c r="P21" s="17"/>
    </row>
    <row r="22" customFormat="false" ht="23.85" hidden="false" customHeight="false" outlineLevel="0" collapsed="false">
      <c r="A22" s="16" t="s">
        <v>179</v>
      </c>
      <c r="B22" s="17" t="s">
        <v>56</v>
      </c>
      <c r="C22" s="17" t="s">
        <v>57</v>
      </c>
      <c r="D22" s="17" t="s">
        <v>78</v>
      </c>
      <c r="E22" s="17" t="s">
        <v>130</v>
      </c>
      <c r="F22" s="18" t="s">
        <v>4</v>
      </c>
      <c r="G22" s="19"/>
      <c r="H22" s="20" t="str">
        <f aca="false">IF(G22="","",G22+7)</f>
        <v/>
      </c>
      <c r="I22" s="17" t="s">
        <v>180</v>
      </c>
      <c r="J22" s="21" t="s">
        <v>181</v>
      </c>
      <c r="K22" s="17" t="s">
        <v>182</v>
      </c>
      <c r="L22" s="17" t="s">
        <v>183</v>
      </c>
      <c r="M22" s="17" t="s">
        <v>113</v>
      </c>
      <c r="N22" s="21" t="s">
        <v>184</v>
      </c>
      <c r="O22" s="17" t="s">
        <v>66</v>
      </c>
      <c r="P22" s="17" t="s">
        <v>185</v>
      </c>
    </row>
    <row r="23" customFormat="false" ht="23.85" hidden="false" customHeight="false" outlineLevel="0" collapsed="false">
      <c r="A23" s="16" t="s">
        <v>186</v>
      </c>
      <c r="B23" s="17" t="s">
        <v>56</v>
      </c>
      <c r="C23" s="17" t="s">
        <v>57</v>
      </c>
      <c r="D23" s="17" t="s">
        <v>69</v>
      </c>
      <c r="E23" s="17" t="s">
        <v>130</v>
      </c>
      <c r="F23" s="18" t="s">
        <v>4</v>
      </c>
      <c r="G23" s="19"/>
      <c r="H23" s="20" t="str">
        <f aca="false">IF(G23="","",G23+7)</f>
        <v/>
      </c>
      <c r="I23" s="17" t="s">
        <v>187</v>
      </c>
      <c r="J23" s="21" t="s">
        <v>188</v>
      </c>
      <c r="K23" s="17" t="s">
        <v>189</v>
      </c>
      <c r="L23" s="17" t="s">
        <v>190</v>
      </c>
      <c r="M23" s="17" t="s">
        <v>191</v>
      </c>
      <c r="N23" s="21" t="s">
        <v>114</v>
      </c>
      <c r="O23" s="17" t="s">
        <v>66</v>
      </c>
      <c r="P23" s="17"/>
    </row>
    <row r="24" customFormat="false" ht="23.85" hidden="false" customHeight="false" outlineLevel="0" collapsed="false">
      <c r="A24" s="16" t="s">
        <v>192</v>
      </c>
      <c r="B24" s="17" t="s">
        <v>56</v>
      </c>
      <c r="C24" s="17" t="s">
        <v>57</v>
      </c>
      <c r="D24" s="17" t="s">
        <v>108</v>
      </c>
      <c r="E24" s="17" t="s">
        <v>130</v>
      </c>
      <c r="F24" s="18" t="s">
        <v>4</v>
      </c>
      <c r="G24" s="19"/>
      <c r="H24" s="20" t="str">
        <f aca="false">IF(G24="","",G24+7)</f>
        <v/>
      </c>
      <c r="I24" s="17" t="s">
        <v>193</v>
      </c>
      <c r="J24" s="21" t="s">
        <v>194</v>
      </c>
      <c r="K24" s="17" t="s">
        <v>195</v>
      </c>
      <c r="L24" s="17" t="s">
        <v>196</v>
      </c>
      <c r="M24" s="17" t="s">
        <v>197</v>
      </c>
      <c r="N24" s="21" t="s">
        <v>198</v>
      </c>
      <c r="O24" s="17"/>
      <c r="P24" s="17"/>
    </row>
    <row r="25" customFormat="false" ht="23.85" hidden="false" customHeight="false" outlineLevel="0" collapsed="false">
      <c r="A25" s="16" t="s">
        <v>199</v>
      </c>
      <c r="B25" s="17" t="s">
        <v>56</v>
      </c>
      <c r="C25" s="17" t="s">
        <v>68</v>
      </c>
      <c r="D25" s="17" t="s">
        <v>69</v>
      </c>
      <c r="E25" s="17" t="s">
        <v>130</v>
      </c>
      <c r="F25" s="18" t="s">
        <v>4</v>
      </c>
      <c r="G25" s="19"/>
      <c r="H25" s="20" t="str">
        <f aca="false">IF(G25="","",G25+7)</f>
        <v/>
      </c>
      <c r="I25" s="17" t="s">
        <v>200</v>
      </c>
      <c r="J25" s="21" t="s">
        <v>201</v>
      </c>
      <c r="K25" s="17" t="s">
        <v>202</v>
      </c>
      <c r="L25" s="17" t="s">
        <v>203</v>
      </c>
      <c r="M25" s="17" t="s">
        <v>204</v>
      </c>
      <c r="N25" s="21" t="s">
        <v>205</v>
      </c>
      <c r="O25" s="17" t="s">
        <v>66</v>
      </c>
      <c r="P25" s="17"/>
    </row>
    <row r="26" customFormat="false" ht="23.85" hidden="false" customHeight="false" outlineLevel="0" collapsed="false">
      <c r="A26" s="16" t="s">
        <v>206</v>
      </c>
      <c r="B26" s="17" t="s">
        <v>56</v>
      </c>
      <c r="C26" s="17" t="s">
        <v>57</v>
      </c>
      <c r="D26" s="17" t="s">
        <v>69</v>
      </c>
      <c r="E26" s="17" t="s">
        <v>130</v>
      </c>
      <c r="F26" s="18" t="s">
        <v>4</v>
      </c>
      <c r="G26" s="19"/>
      <c r="H26" s="20" t="str">
        <f aca="false">IF(G26="","",G26+7)</f>
        <v/>
      </c>
      <c r="I26" s="17"/>
      <c r="J26" s="17"/>
      <c r="K26" s="17" t="s">
        <v>207</v>
      </c>
      <c r="L26" s="17" t="s">
        <v>208</v>
      </c>
      <c r="M26" s="17" t="s">
        <v>90</v>
      </c>
      <c r="N26" s="21" t="s">
        <v>209</v>
      </c>
      <c r="O26" s="17" t="s">
        <v>66</v>
      </c>
      <c r="P26" s="17"/>
    </row>
    <row r="27" customFormat="false" ht="23.85" hidden="false" customHeight="false" outlineLevel="0" collapsed="false">
      <c r="A27" s="16" t="s">
        <v>210</v>
      </c>
      <c r="B27" s="17" t="s">
        <v>56</v>
      </c>
      <c r="C27" s="17" t="s">
        <v>68</v>
      </c>
      <c r="D27" s="17" t="s">
        <v>69</v>
      </c>
      <c r="E27" s="17" t="s">
        <v>211</v>
      </c>
      <c r="F27" s="18" t="s">
        <v>4</v>
      </c>
      <c r="G27" s="19"/>
      <c r="H27" s="20" t="str">
        <f aca="false">IF(G27="","",G27+7)</f>
        <v/>
      </c>
      <c r="I27" s="17"/>
      <c r="J27" s="17"/>
      <c r="K27" s="17" t="s">
        <v>212</v>
      </c>
      <c r="L27" s="17" t="s">
        <v>213</v>
      </c>
      <c r="M27" s="17" t="s">
        <v>90</v>
      </c>
      <c r="N27" s="21" t="s">
        <v>214</v>
      </c>
      <c r="O27" s="17" t="s">
        <v>66</v>
      </c>
      <c r="P27" s="17"/>
    </row>
    <row r="28" customFormat="false" ht="23.85" hidden="false" customHeight="false" outlineLevel="0" collapsed="false">
      <c r="A28" s="16" t="s">
        <v>215</v>
      </c>
      <c r="B28" s="17" t="s">
        <v>56</v>
      </c>
      <c r="C28" s="17" t="s">
        <v>68</v>
      </c>
      <c r="D28" s="17" t="s">
        <v>108</v>
      </c>
      <c r="E28" s="17" t="s">
        <v>211</v>
      </c>
      <c r="F28" s="18" t="s">
        <v>4</v>
      </c>
      <c r="G28" s="19"/>
      <c r="H28" s="20" t="str">
        <f aca="false">IF(G28="","",G28+7)</f>
        <v/>
      </c>
      <c r="I28" s="17"/>
      <c r="J28" s="17"/>
      <c r="K28" s="17" t="s">
        <v>216</v>
      </c>
      <c r="L28" s="17" t="s">
        <v>217</v>
      </c>
      <c r="M28" s="17" t="s">
        <v>113</v>
      </c>
      <c r="N28" s="21" t="s">
        <v>218</v>
      </c>
      <c r="O28" s="17" t="s">
        <v>66</v>
      </c>
      <c r="P28" s="17"/>
    </row>
    <row r="29" customFormat="false" ht="23.85" hidden="false" customHeight="false" outlineLevel="0" collapsed="false">
      <c r="A29" s="16" t="s">
        <v>219</v>
      </c>
      <c r="B29" s="17" t="s">
        <v>56</v>
      </c>
      <c r="C29" s="17" t="s">
        <v>57</v>
      </c>
      <c r="D29" s="17" t="s">
        <v>220</v>
      </c>
      <c r="E29" s="17" t="s">
        <v>211</v>
      </c>
      <c r="F29" s="18" t="s">
        <v>4</v>
      </c>
      <c r="G29" s="19"/>
      <c r="H29" s="20" t="str">
        <f aca="false">IF(G29="","",G29+7)</f>
        <v/>
      </c>
      <c r="I29" s="17" t="s">
        <v>221</v>
      </c>
      <c r="J29" s="21" t="s">
        <v>222</v>
      </c>
      <c r="K29" s="17" t="s">
        <v>223</v>
      </c>
      <c r="L29" s="17" t="s">
        <v>224</v>
      </c>
      <c r="M29" s="17" t="s">
        <v>113</v>
      </c>
      <c r="N29" s="21" t="s">
        <v>225</v>
      </c>
      <c r="O29" s="17" t="s">
        <v>66</v>
      </c>
      <c r="P29" s="17"/>
    </row>
    <row r="30" customFormat="false" ht="23.85" hidden="false" customHeight="false" outlineLevel="0" collapsed="false">
      <c r="A30" s="16" t="s">
        <v>226</v>
      </c>
      <c r="B30" s="17" t="s">
        <v>56</v>
      </c>
      <c r="C30" s="17" t="s">
        <v>68</v>
      </c>
      <c r="D30" s="17" t="s">
        <v>69</v>
      </c>
      <c r="E30" s="17" t="s">
        <v>211</v>
      </c>
      <c r="F30" s="18" t="s">
        <v>4</v>
      </c>
      <c r="G30" s="19"/>
      <c r="H30" s="20" t="str">
        <f aca="false">IF(G30="","",G30+7)</f>
        <v/>
      </c>
      <c r="I30" s="17"/>
      <c r="J30" s="17"/>
      <c r="K30" s="17" t="s">
        <v>227</v>
      </c>
      <c r="L30" s="17" t="s">
        <v>228</v>
      </c>
      <c r="M30" s="17" t="s">
        <v>229</v>
      </c>
      <c r="N30" s="21" t="s">
        <v>230</v>
      </c>
      <c r="O30" s="17" t="s">
        <v>66</v>
      </c>
      <c r="P30" s="17"/>
    </row>
    <row r="31" customFormat="false" ht="23.85" hidden="false" customHeight="false" outlineLevel="0" collapsed="false">
      <c r="A31" s="16" t="s">
        <v>231</v>
      </c>
      <c r="B31" s="17" t="s">
        <v>232</v>
      </c>
      <c r="C31" s="17"/>
      <c r="D31" s="17"/>
      <c r="E31" s="17" t="s">
        <v>59</v>
      </c>
      <c r="F31" s="18" t="s">
        <v>4</v>
      </c>
      <c r="G31" s="19"/>
      <c r="H31" s="20" t="str">
        <f aca="false">IF(G31="","",G31+7)</f>
        <v/>
      </c>
      <c r="I31" s="17"/>
      <c r="J31" s="17"/>
      <c r="K31" s="17" t="s">
        <v>233</v>
      </c>
      <c r="L31" s="17" t="s">
        <v>234</v>
      </c>
      <c r="M31" s="17" t="s">
        <v>235</v>
      </c>
      <c r="N31" s="21" t="s">
        <v>236</v>
      </c>
      <c r="O31" s="17"/>
      <c r="P31" s="17"/>
    </row>
    <row r="32" customFormat="false" ht="35.05" hidden="false" customHeight="false" outlineLevel="0" collapsed="false">
      <c r="A32" s="16" t="s">
        <v>237</v>
      </c>
      <c r="B32" s="17" t="s">
        <v>232</v>
      </c>
      <c r="C32" s="17" t="s">
        <v>238</v>
      </c>
      <c r="D32" s="17" t="s">
        <v>116</v>
      </c>
      <c r="E32" s="17" t="s">
        <v>59</v>
      </c>
      <c r="F32" s="18" t="s">
        <v>4</v>
      </c>
      <c r="G32" s="19"/>
      <c r="H32" s="20" t="str">
        <f aca="false">IF(G32="","",G32+7)</f>
        <v/>
      </c>
      <c r="I32" s="17"/>
      <c r="J32" s="17"/>
      <c r="K32" s="17" t="s">
        <v>239</v>
      </c>
      <c r="L32" s="17" t="s">
        <v>240</v>
      </c>
      <c r="M32" s="17" t="s">
        <v>241</v>
      </c>
      <c r="N32" s="21" t="s">
        <v>242</v>
      </c>
      <c r="O32" s="17"/>
      <c r="P32" s="17"/>
    </row>
    <row r="33" customFormat="false" ht="23.85" hidden="false" customHeight="false" outlineLevel="0" collapsed="false">
      <c r="A33" s="16" t="s">
        <v>243</v>
      </c>
      <c r="B33" s="17" t="s">
        <v>232</v>
      </c>
      <c r="C33" s="17" t="s">
        <v>238</v>
      </c>
      <c r="D33" s="17" t="s">
        <v>69</v>
      </c>
      <c r="E33" s="17" t="s">
        <v>59</v>
      </c>
      <c r="F33" s="18" t="s">
        <v>4</v>
      </c>
      <c r="G33" s="19"/>
      <c r="H33" s="20" t="str">
        <f aca="false">IF(G33="","",G33+7)</f>
        <v/>
      </c>
      <c r="I33" s="17" t="s">
        <v>244</v>
      </c>
      <c r="J33" s="21" t="s">
        <v>245</v>
      </c>
      <c r="K33" s="17" t="s">
        <v>246</v>
      </c>
      <c r="L33" s="17" t="s">
        <v>247</v>
      </c>
      <c r="M33" s="17" t="s">
        <v>248</v>
      </c>
      <c r="N33" s="21" t="s">
        <v>249</v>
      </c>
      <c r="O33" s="17" t="s">
        <v>250</v>
      </c>
      <c r="P33" s="17"/>
    </row>
    <row r="34" customFormat="false" ht="46.25" hidden="false" customHeight="false" outlineLevel="0" collapsed="false">
      <c r="A34" s="16" t="s">
        <v>251</v>
      </c>
      <c r="B34" s="17" t="s">
        <v>232</v>
      </c>
      <c r="C34" s="17" t="s">
        <v>238</v>
      </c>
      <c r="D34" s="17" t="s">
        <v>69</v>
      </c>
      <c r="E34" s="17" t="s">
        <v>59</v>
      </c>
      <c r="F34" s="18" t="s">
        <v>4</v>
      </c>
      <c r="G34" s="19"/>
      <c r="H34" s="20" t="str">
        <f aca="false">IF(G34="","",G34+7)</f>
        <v/>
      </c>
      <c r="I34" s="17"/>
      <c r="J34" s="17"/>
      <c r="K34" s="17" t="s">
        <v>252</v>
      </c>
      <c r="L34" s="17" t="s">
        <v>253</v>
      </c>
      <c r="M34" s="17" t="s">
        <v>254</v>
      </c>
      <c r="N34" s="21" t="s">
        <v>255</v>
      </c>
      <c r="O34" s="17" t="s">
        <v>256</v>
      </c>
      <c r="P34" s="17"/>
    </row>
    <row r="35" customFormat="false" ht="23.85" hidden="false" customHeight="false" outlineLevel="0" collapsed="false">
      <c r="A35" s="16" t="s">
        <v>257</v>
      </c>
      <c r="B35" s="17" t="s">
        <v>232</v>
      </c>
      <c r="C35" s="17" t="s">
        <v>238</v>
      </c>
      <c r="D35" s="17" t="s">
        <v>116</v>
      </c>
      <c r="E35" s="17" t="s">
        <v>59</v>
      </c>
      <c r="F35" s="18" t="s">
        <v>4</v>
      </c>
      <c r="G35" s="19"/>
      <c r="H35" s="20" t="str">
        <f aca="false">IF(G35="","",G35+7)</f>
        <v/>
      </c>
      <c r="I35" s="17"/>
      <c r="J35" s="17"/>
      <c r="K35" s="17" t="s">
        <v>258</v>
      </c>
      <c r="L35" s="17" t="s">
        <v>259</v>
      </c>
      <c r="M35" s="17" t="s">
        <v>260</v>
      </c>
      <c r="N35" s="21" t="s">
        <v>261</v>
      </c>
      <c r="O35" s="17"/>
      <c r="P35" s="17"/>
    </row>
    <row r="36" customFormat="false" ht="23.85" hidden="false" customHeight="false" outlineLevel="0" collapsed="false">
      <c r="A36" s="16" t="s">
        <v>262</v>
      </c>
      <c r="B36" s="17" t="s">
        <v>232</v>
      </c>
      <c r="C36" s="17" t="s">
        <v>238</v>
      </c>
      <c r="D36" s="17" t="s">
        <v>69</v>
      </c>
      <c r="E36" s="17" t="s">
        <v>130</v>
      </c>
      <c r="F36" s="18" t="s">
        <v>4</v>
      </c>
      <c r="G36" s="19"/>
      <c r="H36" s="20" t="str">
        <f aca="false">IF(G36="","",G36+7)</f>
        <v/>
      </c>
      <c r="I36" s="17" t="s">
        <v>263</v>
      </c>
      <c r="J36" s="21" t="s">
        <v>264</v>
      </c>
      <c r="K36" s="17" t="s">
        <v>265</v>
      </c>
      <c r="L36" s="17" t="s">
        <v>203</v>
      </c>
      <c r="M36" s="17" t="s">
        <v>266</v>
      </c>
      <c r="N36" s="21" t="s">
        <v>267</v>
      </c>
      <c r="O36" s="17"/>
      <c r="P36" s="17"/>
    </row>
    <row r="37" customFormat="false" ht="23.85" hidden="false" customHeight="false" outlineLevel="0" collapsed="false">
      <c r="A37" s="16" t="s">
        <v>268</v>
      </c>
      <c r="B37" s="17" t="s">
        <v>232</v>
      </c>
      <c r="C37" s="17"/>
      <c r="D37" s="17"/>
      <c r="E37" s="17" t="s">
        <v>130</v>
      </c>
      <c r="F37" s="18" t="s">
        <v>4</v>
      </c>
      <c r="G37" s="19"/>
      <c r="H37" s="20" t="str">
        <f aca="false">IF(G37="","",G37+7)</f>
        <v/>
      </c>
      <c r="I37" s="17"/>
      <c r="J37" s="17"/>
      <c r="K37" s="17" t="s">
        <v>269</v>
      </c>
      <c r="L37" s="17" t="s">
        <v>270</v>
      </c>
      <c r="M37" s="17" t="s">
        <v>271</v>
      </c>
      <c r="N37" s="21" t="s">
        <v>272</v>
      </c>
      <c r="O37" s="17" t="s">
        <v>66</v>
      </c>
      <c r="P37" s="17"/>
    </row>
    <row r="38" customFormat="false" ht="23.85" hidden="false" customHeight="false" outlineLevel="0" collapsed="false">
      <c r="A38" s="16" t="s">
        <v>273</v>
      </c>
      <c r="B38" s="17" t="s">
        <v>232</v>
      </c>
      <c r="C38" s="17" t="s">
        <v>238</v>
      </c>
      <c r="D38" s="17" t="s">
        <v>69</v>
      </c>
      <c r="E38" s="17" t="s">
        <v>211</v>
      </c>
      <c r="F38" s="18" t="s">
        <v>4</v>
      </c>
      <c r="G38" s="19"/>
      <c r="H38" s="20" t="str">
        <f aca="false">IF(G38="","",G38+7)</f>
        <v/>
      </c>
      <c r="I38" s="17"/>
      <c r="J38" s="17"/>
      <c r="K38" s="17" t="s">
        <v>274</v>
      </c>
      <c r="L38" s="17" t="s">
        <v>275</v>
      </c>
      <c r="M38" s="17" t="s">
        <v>276</v>
      </c>
      <c r="N38" s="21" t="s">
        <v>277</v>
      </c>
      <c r="O38" s="17" t="s">
        <v>278</v>
      </c>
      <c r="P38" s="17" t="s">
        <v>279</v>
      </c>
    </row>
    <row r="39" customFormat="false" ht="15" hidden="false" customHeight="false" outlineLevel="0" collapsed="false">
      <c r="A39" s="16" t="s">
        <v>280</v>
      </c>
      <c r="B39" s="17" t="s">
        <v>232</v>
      </c>
      <c r="C39" s="17"/>
      <c r="D39" s="17"/>
      <c r="E39" s="17" t="s">
        <v>211</v>
      </c>
      <c r="F39" s="18" t="s">
        <v>4</v>
      </c>
      <c r="G39" s="19"/>
      <c r="H39" s="20" t="str">
        <f aca="false">IF(G39="","",G39+7)</f>
        <v/>
      </c>
      <c r="I39" s="17"/>
      <c r="J39" s="17"/>
      <c r="K39" s="17" t="s">
        <v>281</v>
      </c>
      <c r="L39" s="17" t="s">
        <v>275</v>
      </c>
      <c r="M39" s="17" t="s">
        <v>276</v>
      </c>
      <c r="N39" s="21" t="s">
        <v>282</v>
      </c>
      <c r="O39" s="17" t="s">
        <v>283</v>
      </c>
      <c r="P39" s="17" t="s">
        <v>279</v>
      </c>
    </row>
    <row r="40" customFormat="false" ht="35.05" hidden="false" customHeight="false" outlineLevel="0" collapsed="false">
      <c r="A40" s="16" t="s">
        <v>284</v>
      </c>
      <c r="B40" s="17" t="s">
        <v>232</v>
      </c>
      <c r="C40" s="17"/>
      <c r="D40" s="17"/>
      <c r="E40" s="17" t="s">
        <v>211</v>
      </c>
      <c r="F40" s="18" t="s">
        <v>4</v>
      </c>
      <c r="G40" s="19"/>
      <c r="H40" s="20" t="str">
        <f aca="false">IF(G40="","",G40+7)</f>
        <v/>
      </c>
      <c r="I40" s="17"/>
      <c r="J40" s="17"/>
      <c r="K40" s="17" t="s">
        <v>285</v>
      </c>
      <c r="L40" s="17" t="s">
        <v>275</v>
      </c>
      <c r="M40" s="17" t="s">
        <v>286</v>
      </c>
      <c r="N40" s="21" t="s">
        <v>287</v>
      </c>
      <c r="O40" s="17" t="s">
        <v>288</v>
      </c>
      <c r="P40" s="17" t="s">
        <v>279</v>
      </c>
    </row>
    <row r="41" customFormat="false" ht="35.05" hidden="false" customHeight="false" outlineLevel="0" collapsed="false">
      <c r="A41" s="16" t="s">
        <v>289</v>
      </c>
      <c r="B41" s="17" t="s">
        <v>232</v>
      </c>
      <c r="C41" s="17" t="s">
        <v>238</v>
      </c>
      <c r="D41" s="17" t="s">
        <v>69</v>
      </c>
      <c r="E41" s="17" t="s">
        <v>211</v>
      </c>
      <c r="F41" s="18" t="s">
        <v>4</v>
      </c>
      <c r="G41" s="19"/>
      <c r="H41" s="20" t="str">
        <f aca="false">IF(G41="","",G41+7)</f>
        <v/>
      </c>
      <c r="I41" s="17"/>
      <c r="J41" s="17"/>
      <c r="K41" s="17" t="s">
        <v>290</v>
      </c>
      <c r="L41" s="17" t="s">
        <v>291</v>
      </c>
      <c r="M41" s="17" t="s">
        <v>292</v>
      </c>
      <c r="N41" s="21" t="s">
        <v>293</v>
      </c>
      <c r="O41" s="17" t="s">
        <v>294</v>
      </c>
      <c r="P41" s="17"/>
    </row>
    <row r="42" customFormat="false" ht="35.05" hidden="false" customHeight="false" outlineLevel="0" collapsed="false">
      <c r="A42" s="16" t="s">
        <v>295</v>
      </c>
      <c r="B42" s="17" t="s">
        <v>232</v>
      </c>
      <c r="C42" s="17"/>
      <c r="D42" s="17"/>
      <c r="E42" s="17" t="s">
        <v>211</v>
      </c>
      <c r="F42" s="18" t="s">
        <v>4</v>
      </c>
      <c r="G42" s="19"/>
      <c r="H42" s="20" t="str">
        <f aca="false">IF(G42="","",G42+7)</f>
        <v/>
      </c>
      <c r="I42" s="17"/>
      <c r="J42" s="17"/>
      <c r="K42" s="17" t="s">
        <v>296</v>
      </c>
      <c r="L42" s="17" t="s">
        <v>275</v>
      </c>
      <c r="M42" s="17" t="s">
        <v>297</v>
      </c>
      <c r="N42" s="21" t="s">
        <v>298</v>
      </c>
      <c r="O42" s="17" t="s">
        <v>299</v>
      </c>
      <c r="P42" s="17"/>
    </row>
    <row r="43" customFormat="false" ht="15" hidden="false" customHeight="false" outlineLevel="0" collapsed="false">
      <c r="G43" s="22"/>
      <c r="H43" s="23" t="str">
        <f aca="false">IF(G43="","",G43+7)</f>
        <v/>
      </c>
    </row>
    <row r="44" customFormat="false" ht="15" hidden="false" customHeight="false" outlineLevel="0" collapsed="false">
      <c r="G44" s="22"/>
      <c r="H44" s="23" t="str">
        <f aca="false">IF(G44="","",G44+7)</f>
        <v/>
      </c>
    </row>
    <row r="45" customFormat="false" ht="15" hidden="false" customHeight="false" outlineLevel="0" collapsed="false">
      <c r="G45" s="22"/>
      <c r="H45" s="23" t="str">
        <f aca="false">IF(G45="","",G45+7)</f>
        <v/>
      </c>
    </row>
    <row r="46" customFormat="false" ht="15" hidden="false" customHeight="false" outlineLevel="0" collapsed="false">
      <c r="G46" s="22"/>
      <c r="H46" s="23" t="str">
        <f aca="false">IF(G46="","",G46+7)</f>
        <v/>
      </c>
    </row>
    <row r="47" customFormat="false" ht="15" hidden="false" customHeight="false" outlineLevel="0" collapsed="false">
      <c r="G47" s="22"/>
      <c r="H47" s="23" t="str">
        <f aca="false">IF(G47="","",G47+7)</f>
        <v/>
      </c>
    </row>
    <row r="48" customFormat="false" ht="15" hidden="false" customHeight="false" outlineLevel="0" collapsed="false">
      <c r="G48" s="22"/>
      <c r="H48" s="23" t="str">
        <f aca="false">IF(G48="","",G48+7)</f>
        <v/>
      </c>
    </row>
    <row r="49" customFormat="false" ht="15" hidden="false" customHeight="false" outlineLevel="0" collapsed="false">
      <c r="G49" s="22"/>
      <c r="H49" s="23" t="str">
        <f aca="false">IF(G49="","",G49+7)</f>
        <v/>
      </c>
    </row>
    <row r="50" customFormat="false" ht="15" hidden="false" customHeight="false" outlineLevel="0" collapsed="false">
      <c r="G50" s="22"/>
      <c r="H50" s="23" t="str">
        <f aca="false">IF(G50="","",G50+7)</f>
        <v/>
      </c>
    </row>
    <row r="51" customFormat="false" ht="15" hidden="false" customHeight="false" outlineLevel="0" collapsed="false">
      <c r="G51" s="22"/>
      <c r="H51" s="23" t="str">
        <f aca="false">IF(G51="","",G51+7)</f>
        <v/>
      </c>
    </row>
    <row r="52" customFormat="false" ht="15" hidden="false" customHeight="false" outlineLevel="0" collapsed="false">
      <c r="G52" s="22"/>
      <c r="H52" s="23" t="str">
        <f aca="false">IF(G52="","",G52+7)</f>
        <v/>
      </c>
    </row>
    <row r="53" customFormat="false" ht="15" hidden="false" customHeight="false" outlineLevel="0" collapsed="false">
      <c r="G53" s="22"/>
      <c r="H53" s="23" t="str">
        <f aca="false">IF(G53="","",G53+7)</f>
        <v/>
      </c>
    </row>
    <row r="54" customFormat="false" ht="15" hidden="false" customHeight="false" outlineLevel="0" collapsed="false">
      <c r="G54" s="22"/>
      <c r="H54" s="23" t="str">
        <f aca="false">IF(G54="","",G54+7)</f>
        <v/>
      </c>
    </row>
    <row r="55" customFormat="false" ht="15" hidden="false" customHeight="false" outlineLevel="0" collapsed="false">
      <c r="G55" s="22"/>
      <c r="H55" s="23" t="str">
        <f aca="false">IF(G55="","",G55+7)</f>
        <v/>
      </c>
    </row>
    <row r="56" customFormat="false" ht="15" hidden="false" customHeight="false" outlineLevel="0" collapsed="false">
      <c r="G56" s="22"/>
      <c r="H56" s="23" t="str">
        <f aca="false">IF(G56="","",G56+7)</f>
        <v/>
      </c>
    </row>
    <row r="57" customFormat="false" ht="15" hidden="false" customHeight="false" outlineLevel="0" collapsed="false">
      <c r="G57" s="22"/>
      <c r="H57" s="23" t="str">
        <f aca="false">IF(G57="","",G57+7)</f>
        <v/>
      </c>
    </row>
    <row r="58" customFormat="false" ht="15" hidden="false" customHeight="false" outlineLevel="0" collapsed="false">
      <c r="G58" s="22"/>
      <c r="H58" s="23" t="str">
        <f aca="false">IF(G58="","",G58+7)</f>
        <v/>
      </c>
    </row>
    <row r="59" customFormat="false" ht="15" hidden="false" customHeight="false" outlineLevel="0" collapsed="false">
      <c r="G59" s="22"/>
      <c r="H59" s="23" t="str">
        <f aca="false">IF(G59="","",G59+7)</f>
        <v/>
      </c>
    </row>
    <row r="60" customFormat="false" ht="15" hidden="false" customHeight="false" outlineLevel="0" collapsed="false">
      <c r="G60" s="22"/>
      <c r="H60" s="23" t="str">
        <f aca="false">IF(G60="","",G60+7)</f>
        <v/>
      </c>
    </row>
    <row r="61" customFormat="false" ht="15" hidden="false" customHeight="false" outlineLevel="0" collapsed="false">
      <c r="G61" s="22"/>
      <c r="H61" s="23" t="str">
        <f aca="false">IF(G61="","",G61+7)</f>
        <v/>
      </c>
    </row>
    <row r="62" customFormat="false" ht="15" hidden="false" customHeight="false" outlineLevel="0" collapsed="false">
      <c r="G62" s="22"/>
      <c r="H62" s="23" t="str">
        <f aca="false">IF(G62="","",G62+7)</f>
        <v/>
      </c>
    </row>
    <row r="63" customFormat="false" ht="15" hidden="false" customHeight="false" outlineLevel="0" collapsed="false">
      <c r="G63" s="22"/>
      <c r="H63" s="23" t="str">
        <f aca="false">IF(G63="","",G63+7)</f>
        <v/>
      </c>
    </row>
    <row r="64" customFormat="false" ht="15" hidden="false" customHeight="false" outlineLevel="0" collapsed="false">
      <c r="G64" s="22"/>
      <c r="H64" s="23" t="str">
        <f aca="false">IF(G64="","",G64+7)</f>
        <v/>
      </c>
    </row>
    <row r="65" customFormat="false" ht="15" hidden="false" customHeight="false" outlineLevel="0" collapsed="false">
      <c r="G65" s="22"/>
      <c r="H65" s="23" t="str">
        <f aca="false">IF(G65="","",G65+7)</f>
        <v/>
      </c>
    </row>
    <row r="66" customFormat="false" ht="15" hidden="false" customHeight="false" outlineLevel="0" collapsed="false">
      <c r="G66" s="22"/>
      <c r="H66" s="23" t="str">
        <f aca="false">IF(G66="","",G66+7)</f>
        <v/>
      </c>
    </row>
    <row r="67" customFormat="false" ht="15" hidden="false" customHeight="false" outlineLevel="0" collapsed="false">
      <c r="G67" s="22"/>
      <c r="H67" s="23" t="str">
        <f aca="false">IF(G67="","",G67+7)</f>
        <v/>
      </c>
    </row>
    <row r="68" customFormat="false" ht="15" hidden="false" customHeight="false" outlineLevel="0" collapsed="false">
      <c r="G68" s="22"/>
      <c r="H68" s="23" t="str">
        <f aca="false">IF(G68="","",G68+7)</f>
        <v/>
      </c>
    </row>
    <row r="69" customFormat="false" ht="15" hidden="false" customHeight="false" outlineLevel="0" collapsed="false">
      <c r="G69" s="22"/>
      <c r="H69" s="23" t="str">
        <f aca="false">IF(G69="","",G69+7)</f>
        <v/>
      </c>
    </row>
    <row r="70" customFormat="false" ht="15" hidden="false" customHeight="false" outlineLevel="0" collapsed="false">
      <c r="G70" s="22"/>
      <c r="H70" s="23" t="str">
        <f aca="false">IF(G70="","",G70+7)</f>
        <v/>
      </c>
    </row>
    <row r="71" customFormat="false" ht="15" hidden="false" customHeight="false" outlineLevel="0" collapsed="false">
      <c r="G71" s="22"/>
      <c r="H71" s="23" t="str">
        <f aca="false">IF(G71="","",G71+7)</f>
        <v/>
      </c>
    </row>
    <row r="72" customFormat="false" ht="15" hidden="false" customHeight="false" outlineLevel="0" collapsed="false">
      <c r="G72" s="22"/>
      <c r="H72" s="23" t="str">
        <f aca="false">IF(G72="","",G72+7)</f>
        <v/>
      </c>
    </row>
    <row r="73" customFormat="false" ht="15" hidden="false" customHeight="false" outlineLevel="0" collapsed="false">
      <c r="G73" s="22"/>
      <c r="H73" s="23" t="str">
        <f aca="false">IF(G73="","",G73+7)</f>
        <v/>
      </c>
    </row>
    <row r="74" customFormat="false" ht="15" hidden="false" customHeight="false" outlineLevel="0" collapsed="false">
      <c r="G74" s="22"/>
      <c r="H74" s="23" t="str">
        <f aca="false">IF(G74="","",G74+7)</f>
        <v/>
      </c>
    </row>
    <row r="75" customFormat="false" ht="15" hidden="false" customHeight="false" outlineLevel="0" collapsed="false">
      <c r="G75" s="22"/>
      <c r="H75" s="23" t="str">
        <f aca="false">IF(G75="","",G75+7)</f>
        <v/>
      </c>
    </row>
    <row r="76" customFormat="false" ht="15" hidden="false" customHeight="false" outlineLevel="0" collapsed="false">
      <c r="G76" s="22"/>
      <c r="H76" s="23" t="str">
        <f aca="false">IF(G76="","",G76+7)</f>
        <v/>
      </c>
    </row>
    <row r="77" customFormat="false" ht="15" hidden="false" customHeight="false" outlineLevel="0" collapsed="false">
      <c r="G77" s="22"/>
      <c r="H77" s="23" t="str">
        <f aca="false">IF(G77="","",G77+7)</f>
        <v/>
      </c>
    </row>
    <row r="78" customFormat="false" ht="15" hidden="false" customHeight="false" outlineLevel="0" collapsed="false">
      <c r="G78" s="22"/>
      <c r="H78" s="23" t="str">
        <f aca="false">IF(G78="","",G78+7)</f>
        <v/>
      </c>
    </row>
    <row r="79" customFormat="false" ht="15" hidden="false" customHeight="false" outlineLevel="0" collapsed="false">
      <c r="G79" s="22"/>
      <c r="H79" s="23" t="str">
        <f aca="false">IF(G79="","",G79+7)</f>
        <v/>
      </c>
    </row>
    <row r="80" customFormat="false" ht="15" hidden="false" customHeight="false" outlineLevel="0" collapsed="false">
      <c r="G80" s="22"/>
      <c r="H80" s="23" t="str">
        <f aca="false">IF(G80="","",G80+7)</f>
        <v/>
      </c>
    </row>
    <row r="81" customFormat="false" ht="15" hidden="false" customHeight="false" outlineLevel="0" collapsed="false">
      <c r="G81" s="22"/>
      <c r="H81" s="23" t="str">
        <f aca="false">IF(G81="","",G81+7)</f>
        <v/>
      </c>
    </row>
    <row r="82" customFormat="false" ht="15" hidden="false" customHeight="false" outlineLevel="0" collapsed="false">
      <c r="G82" s="22"/>
      <c r="H82" s="23" t="str">
        <f aca="false">IF(G82="","",G82+7)</f>
        <v/>
      </c>
    </row>
  </sheetData>
  <autoFilter ref="A4:P42"/>
  <conditionalFormatting sqref="A5:P82">
    <cfRule type="expression" priority="2" aboveAverage="0" equalAverage="0" bottom="0" percent="0" rank="0" text="" dxfId="7">
      <formula>$F5="Pitched"</formula>
    </cfRule>
    <cfRule type="expression" priority="3" aboveAverage="0" equalAverage="0" bottom="0" percent="0" rank="0" text="" dxfId="7">
      <formula>$F5="Followed up"</formula>
    </cfRule>
    <cfRule type="expression" priority="4" aboveAverage="0" equalAverage="0" bottom="0" percent="0" rank="0" text="" dxfId="8">
      <formula>$F5="Replied"</formula>
    </cfRule>
    <cfRule type="expression" priority="5" aboveAverage="0" equalAverage="0" bottom="0" percent="0" rank="0" text="" dxfId="9">
      <formula>$F5="Booked"</formula>
    </cfRule>
    <cfRule type="expression" priority="6" aboveAverage="0" equalAverage="0" bottom="0" percent="0" rank="0" text="" dxfId="10">
      <formula>$F5="Declined"</formula>
    </cfRule>
  </conditionalFormatting>
  <conditionalFormatting sqref="E5:E82">
    <cfRule type="expression" priority="7" aboveAverage="0" equalAverage="0" bottom="0" percent="0" rank="0" text="" dxfId="11">
      <formula>$E5="High"</formula>
    </cfRule>
  </conditionalFormatting>
  <conditionalFormatting sqref="H5:H82">
    <cfRule type="expression" priority="8" aboveAverage="0" equalAverage="0" bottom="0" percent="0" rank="0" text="" dxfId="12">
      <formula>AND($H5&lt;&gt;"",$H5&lt;=TODAY(),$F5&lt;&gt;"Replied",$F5&lt;&gt;"Booked",$F5&lt;&gt;"Declined")</formula>
    </cfRule>
  </conditionalFormatting>
  <dataValidations count="2">
    <dataValidation allowBlank="true" errorStyle="stop" operator="between" showDropDown="false" showErrorMessage="false" showInputMessage="false" sqref="F5:F82" type="list">
      <formula1>"To pitch,Pitched,Followed up,Replied,Booked,Declined"</formula1>
      <formula2>0</formula2>
    </dataValidation>
    <dataValidation allowBlank="true" errorStyle="stop" operator="between" showDropDown="false" showErrorMessage="false" showInputMessage="false" sqref="E5:E82" type="list">
      <formula1>"High,Medium,Low"</formula1>
      <formula2>0</formula2>
    </dataValidation>
  </dataValidations>
  <hyperlinks>
    <hyperlink ref="J5" r:id="rId1" display="https://www.aritzia.com/us/en/aritzia/corporate-hub/corporate-media-room"/>
    <hyperlink ref="N5" r:id="rId2" display="https://www.marketbeat.com/instant-alerts/aritzia-shareholders-back-board-as-ceo-touts-35-revenue-growth-us-expansion-2026-07-13/"/>
    <hyperlink ref="J6" r:id="rId3" display="https://www.tapestry.com/contact/"/>
    <hyperlink ref="N6" r:id="rId4" display="https://pulse2.com/tapestry-11-million-new-customers-join-in-fy26-as-gen-z-represents-35-of-acquisitions/"/>
    <hyperlink ref="J7" r:id="rId5" display="https://www.meandem.com/us/contact"/>
    <hyperlink ref="N7" r:id="rId6" display="https://fashionunited.com/news/business/me-em-welcomes-strong-growth-as-us-market-drives-performance/2025103168975"/>
    <hyperlink ref="J8" r:id="rId7" display="https://corporate.ralphlauren.com/contact"/>
    <hyperlink ref="N8" r:id="rId8" display="https://www.sec.gov/Archives/edgar/data/0001037038/000162828026037053/rl-20260328xex991xpressrel.htm"/>
    <hyperlink ref="J9" r:id="rId9" display="https://help.thereformation.com/en_us/contact/contact-us-HJbQdfdHj"/>
    <hyperlink ref="N9" r:id="rId10" display="https://affilimate.com/programs/reformation-affiliate-program/"/>
    <hyperlink ref="J10" r:id="rId11" display="https://tibi.com/pages/customer-care"/>
    <hyperlink ref="N10" r:id="rId12" display="https://www.disneyrollergirl.net/fashion-founder-substacks-influencers/"/>
    <hyperlink ref="J11" r:id="rId13" display="https://toteme-studio.com/pages/contact"/>
    <hyperlink ref="N11" r:id="rId14" display="https://www.papercitymag.com/fashion/knox-street-announces-new-retailers-2026/"/>
    <hyperlink ref="J12" r:id="rId15" display="https://ullajohnson.com/pages/contact"/>
    <hyperlink ref="N12" r:id="rId16" display="https://fashionunited.uk/news/retail/ulla-johnson-opens-first-standalone-store-outside-us-in-london/2026090390118"/>
    <hyperlink ref="J13" r:id="rId17" display="https://veronicabeard.com/pages/press"/>
    <hyperlink ref="N13" r:id="rId18" display="https://veronicabeard.com/blogs/career/affiliate-digital-partnerships-manager"/>
    <hyperlink ref="J14" r:id="rId19" display="https://cultgaia.com/pages/work-with-us"/>
    <hyperlink ref="N14" r:id="rId20" display="https://www.nssmag.com/en/fashion/44248/nyfw-fw26-debuts-proenza-schouler-calvin-klein-cult-gaia-n4xt"/>
    <hyperlink ref="J15" r:id="rId21" display="https://www.shopdoen.com/pages/contact"/>
    <hyperlink ref="N15" r:id="rId22" display="https://www.papercitymag.com/fashion/knox-street-announces-new-retailers-2026/"/>
    <hyperlink ref="J16" r:id="rId23" display="https://agolde.com/pages/sales-press"/>
    <hyperlink ref="N16" r:id="rId24" display="https://www.daisycon.com/sv/kampanj/18386-frame-int/"/>
    <hyperlink ref="N17" r:id="rId25" display="https://www.glossy.co/fashion/how-jenni-kayne-used-its-nyfw-show-to-acquire-valuable-cross-category-shoppers/"/>
    <hyperlink ref="J18" r:id="rId26" display="https://khaite.com/pages/contact-us"/>
    <hyperlink ref="N18" r:id="rId27" display="https://www.papercitymag.com/fashion/khaite-dallas-new-store-shopping-clothing-quiet-luxury/"/>
    <hyperlink ref="N19" r:id="rId28" display="https://fashionunited.com/news/business/prada-group-closes-h1-with-a-16-percent-increase-in-net-revenue/2026073073824"/>
    <hyperlink ref="J20" r:id="rId29" display="https://support.polene-paris.com/hc/en-us/articles/360010129820"/>
    <hyperlink ref="N20" r:id="rId30" display="https://www.glossy.co/fashion/french-brands-are-expanding-their-retail-presence-to-the-u-s/"/>
    <hyperlink ref="J21" r:id="rId31" display="https://www.proenzaschouler.com/pages/contact-us"/>
    <hyperlink ref="N21" r:id="rId32" display="https://www.theindustry.fashion/proenza-schouler-names-rachel-scott-as-creative-director/"/>
    <hyperlink ref="J22" r:id="rId33" display="https://www.rixo.co.uk/contact/"/>
    <hyperlink ref="N22" r:id="rId34" display="https://us.fashionnetwork.com/news/Rixo-makes-nyc-pop-up-a-permanent-store,1659332.html"/>
    <hyperlink ref="J23" r:id="rId35" display="https://staud.clothing/pages/contact-us"/>
    <hyperlink ref="N23" r:id="rId36" display="https://www.papercitymag.com/fashion/knox-street-announces-new-retailers-2026/"/>
    <hyperlink ref="J24" r:id="rId37" display="https://www.sezane.com/us-en/contact"/>
    <hyperlink ref="N24" r:id="rId38" display="https://fashionunited.com/news/retail/sezane-to-open-new-us-store-in-washington-in-april/2026020470406"/>
    <hyperlink ref="J25" r:id="rId39" display="https://www.toryburch.com/on/demandware.store/Sites-ToryBurch_EU-Site/en/CustomerService-ContactUs"/>
    <hyperlink ref="N25" r:id="rId40" display="https://www.flexoffers.com/affiliate-programs/tory-burch-affiliate-program/"/>
    <hyperlink ref="N26" r:id="rId41" display="https://secure.businesswire.com/news/home/20260910767018/en/Vince-Holding-Corp.-Reports-Second-Quarter-2026-Results"/>
    <hyperlink ref="N27" r:id="rId42" display="https://ww.fashionnetwork.com/tags-gabriela-hearst"/>
    <hyperlink ref="N28" r:id="rId43" display="https://fashionunited.com/news/retail/jacquemus-opens-in-los-angeles-on-melrose-avenue/2025042465643"/>
    <hyperlink ref="J29" r:id="rId44" display="https://www.ganni.com/us/press-showrooms.html"/>
    <hyperlink ref="N29" r:id="rId45" display="https://www.instagram.com"/>
    <hyperlink ref="N30" r:id="rId46" display="https://graziamagazine.com/us/articles/the-row-paris-fashion-week-no-social-media/"/>
    <hyperlink ref="N31" r:id="rId47" display="https://libertylondon.com/uk/information/the-liberty-london-affiliate-program.html"/>
    <hyperlink ref="N32" r:id="rId48" display="https://secure.businesswire.com/news/home/20260318912197/en/LTK-Launches-Quick-Collabs-A-Faster-Way-for-Brands-and-Creators-to-Work-Together"/>
    <hyperlink ref="J33" r:id="rId49" display="https://www.nordstrom.com/browse/about/nordstrom-media-network"/>
    <hyperlink ref="N33" r:id="rId50" display="https://nordstrom.gcs-web.com/work-us-0"/>
    <hyperlink ref="N34" r:id="rId51" display="https://getlasso.co/affiliate/shopbop/"/>
    <hyperlink ref="N35" r:id="rId52" display="https://pulse2.com/shopmy-70-million-at-1-5-billion-valuation-raised-for-expanding-curated-commerce-infrastructure-for-premium-brands"/>
    <hyperlink ref="J36" r:id="rId53" display="https://investors.revolve.com/news/news-details/2026/Revolve-Group-Announces-Second-Quarter-2026-Financial-Results/default.aspx"/>
    <hyperlink ref="N36" r:id="rId54" display="https://investors.revolve.com/files/doc_news/REVOLVE-Launches-Brand-Ambassador-Program-Leveraging-in-House-Proprietary-Technology-2021.pdf"/>
    <hyperlink ref="N37" r:id="rId55" display="https://www.whatnot.com"/>
    <hyperlink ref="N38" r:id="rId56" display="https://www.fwrd.com/fw/Affiliate.jsp"/>
    <hyperlink ref="N39" r:id="rId57" display="https://www.mytheresa.com/me/en/affiliates"/>
    <hyperlink ref="N40" r:id="rId58" display="https://www.net-a-porter.com"/>
    <hyperlink ref="N41" r:id="rId59" display="https://news.bloomberglaw.com/bankruptcy-law/saks-global-emerges-from-bankruptcy-as-exemplar-luxury-group"/>
    <hyperlink ref="N42" r:id="rId60" display="https://www.selfridge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3"/>
    <col collapsed="false" customWidth="true" hidden="false" outlineLevel="0" max="4" min="4" style="0" width="11"/>
    <col collapsed="false" customWidth="true" hidden="false" outlineLevel="0" max="5" min="5" style="0" width="9"/>
    <col collapsed="false" customWidth="true" hidden="false" outlineLevel="0" max="6" min="6" style="0" width="13"/>
    <col collapsed="false" customWidth="true" hidden="false" outlineLevel="0" max="8" min="7" style="0" width="12"/>
    <col collapsed="false" customWidth="true" hidden="false" outlineLevel="0" max="9" min="9" style="0" width="36"/>
    <col collapsed="false" customWidth="true" hidden="false" outlineLevel="0" max="10" min="10" style="0" width="30"/>
    <col collapsed="false" customWidth="true" hidden="false" outlineLevel="0" max="11" min="11" style="0" width="44"/>
    <col collapsed="false" customWidth="true" hidden="false" outlineLevel="0" max="12" min="12" style="0" width="40"/>
    <col collapsed="false" customWidth="true" hidden="false" outlineLevel="0" max="13" min="13" style="0" width="36"/>
    <col collapsed="false" customWidth="true" hidden="false" outlineLevel="0" max="14" min="14" style="0" width="30"/>
    <col collapsed="false" customWidth="true" hidden="false" outlineLevel="0" max="15" min="15" style="0" width="26"/>
    <col collapsed="false" customWidth="true" hidden="false" outlineLevel="0" max="16" min="16" style="0" width="36"/>
  </cols>
  <sheetData>
    <row r="1" customFormat="false" ht="27.75" hidden="false" customHeight="true" outlineLevel="0" collapsed="false">
      <c r="A1" s="1" t="s">
        <v>12</v>
      </c>
    </row>
    <row r="2" customFormat="false" ht="15" hidden="false" customHeight="false" outlineLevel="0" collapsed="false">
      <c r="A2" s="2" t="s">
        <v>300</v>
      </c>
    </row>
    <row r="3" customFormat="false" ht="3.75" hidden="false" customHeight="true" outlineLevel="0" collapsed="false">
      <c r="A3" s="3"/>
      <c r="B3" s="3"/>
      <c r="C3" s="3"/>
      <c r="D3" s="3"/>
      <c r="E3" s="3"/>
      <c r="F3" s="3"/>
      <c r="G3" s="3"/>
      <c r="H3" s="3"/>
      <c r="I3" s="3"/>
      <c r="J3" s="3"/>
      <c r="K3" s="3"/>
      <c r="L3" s="3"/>
      <c r="M3" s="3"/>
      <c r="N3" s="3"/>
      <c r="O3" s="3"/>
      <c r="P3" s="3"/>
    </row>
    <row r="4" customFormat="false" ht="30" hidden="false" customHeight="true" outlineLevel="0" collapsed="false">
      <c r="A4" s="15" t="s">
        <v>40</v>
      </c>
      <c r="B4" s="15" t="s">
        <v>41</v>
      </c>
      <c r="C4" s="15" t="s">
        <v>42</v>
      </c>
      <c r="D4" s="15" t="s">
        <v>43</v>
      </c>
      <c r="E4" s="15" t="s">
        <v>44</v>
      </c>
      <c r="F4" s="15" t="s">
        <v>16</v>
      </c>
      <c r="G4" s="15" t="s">
        <v>45</v>
      </c>
      <c r="H4" s="15" t="s">
        <v>46</v>
      </c>
      <c r="I4" s="15" t="s">
        <v>47</v>
      </c>
      <c r="J4" s="15" t="s">
        <v>48</v>
      </c>
      <c r="K4" s="15" t="s">
        <v>49</v>
      </c>
      <c r="L4" s="15" t="s">
        <v>50</v>
      </c>
      <c r="M4" s="15" t="s">
        <v>51</v>
      </c>
      <c r="N4" s="15" t="s">
        <v>52</v>
      </c>
      <c r="O4" s="15" t="s">
        <v>53</v>
      </c>
      <c r="P4" s="15" t="s">
        <v>54</v>
      </c>
    </row>
    <row r="5" customFormat="false" ht="35.05" hidden="false" customHeight="false" outlineLevel="0" collapsed="false">
      <c r="A5" s="16" t="s">
        <v>301</v>
      </c>
      <c r="B5" s="17" t="s">
        <v>12</v>
      </c>
      <c r="C5" s="17"/>
      <c r="D5" s="17"/>
      <c r="E5" s="17" t="s">
        <v>59</v>
      </c>
      <c r="F5" s="18" t="s">
        <v>4</v>
      </c>
      <c r="G5" s="19"/>
      <c r="H5" s="20" t="str">
        <f aca="false">IF(G5="","",G5+7)</f>
        <v/>
      </c>
      <c r="I5" s="17" t="s">
        <v>302</v>
      </c>
      <c r="J5" s="21" t="s">
        <v>303</v>
      </c>
      <c r="K5" s="17" t="s">
        <v>304</v>
      </c>
      <c r="L5" s="17" t="s">
        <v>305</v>
      </c>
      <c r="M5" s="17" t="s">
        <v>306</v>
      </c>
      <c r="N5" s="21" t="s">
        <v>307</v>
      </c>
      <c r="O5" s="17"/>
      <c r="P5" s="17" t="s">
        <v>308</v>
      </c>
    </row>
    <row r="6" customFormat="false" ht="46.25" hidden="false" customHeight="false" outlineLevel="0" collapsed="false">
      <c r="A6" s="16" t="s">
        <v>309</v>
      </c>
      <c r="B6" s="17" t="s">
        <v>12</v>
      </c>
      <c r="C6" s="17"/>
      <c r="D6" s="17"/>
      <c r="E6" s="17" t="s">
        <v>59</v>
      </c>
      <c r="F6" s="18" t="s">
        <v>4</v>
      </c>
      <c r="G6" s="19"/>
      <c r="H6" s="20" t="str">
        <f aca="false">IF(G6="","",G6+7)</f>
        <v/>
      </c>
      <c r="I6" s="17" t="s">
        <v>310</v>
      </c>
      <c r="J6" s="21" t="s">
        <v>311</v>
      </c>
      <c r="K6" s="17" t="s">
        <v>312</v>
      </c>
      <c r="L6" s="17" t="s">
        <v>313</v>
      </c>
      <c r="M6" s="17" t="s">
        <v>314</v>
      </c>
      <c r="N6" s="21" t="s">
        <v>311</v>
      </c>
      <c r="O6" s="17" t="s">
        <v>66</v>
      </c>
      <c r="P6" s="17" t="s">
        <v>315</v>
      </c>
    </row>
    <row r="7" customFormat="false" ht="57.45" hidden="false" customHeight="false" outlineLevel="0" collapsed="false">
      <c r="A7" s="16" t="s">
        <v>316</v>
      </c>
      <c r="B7" s="17" t="s">
        <v>12</v>
      </c>
      <c r="C7" s="17"/>
      <c r="D7" s="17"/>
      <c r="E7" s="17" t="s">
        <v>59</v>
      </c>
      <c r="F7" s="18" t="s">
        <v>4</v>
      </c>
      <c r="G7" s="19"/>
      <c r="H7" s="20" t="str">
        <f aca="false">IF(G7="","",G7+7)</f>
        <v/>
      </c>
      <c r="I7" s="17" t="s">
        <v>317</v>
      </c>
      <c r="J7" s="21" t="s">
        <v>318</v>
      </c>
      <c r="K7" s="17" t="s">
        <v>319</v>
      </c>
      <c r="L7" s="17" t="s">
        <v>320</v>
      </c>
      <c r="M7" s="17" t="s">
        <v>321</v>
      </c>
      <c r="N7" s="21" t="s">
        <v>322</v>
      </c>
      <c r="O7" s="17" t="s">
        <v>66</v>
      </c>
      <c r="P7" s="17" t="s">
        <v>323</v>
      </c>
    </row>
    <row r="8" customFormat="false" ht="35.05" hidden="false" customHeight="false" outlineLevel="0" collapsed="false">
      <c r="A8" s="16" t="s">
        <v>324</v>
      </c>
      <c r="B8" s="17" t="s">
        <v>12</v>
      </c>
      <c r="C8" s="17"/>
      <c r="D8" s="17"/>
      <c r="E8" s="17" t="s">
        <v>59</v>
      </c>
      <c r="F8" s="18" t="s">
        <v>4</v>
      </c>
      <c r="G8" s="19"/>
      <c r="H8" s="20" t="str">
        <f aca="false">IF(G8="","",G8+7)</f>
        <v/>
      </c>
      <c r="I8" s="17" t="s">
        <v>325</v>
      </c>
      <c r="J8" s="21" t="s">
        <v>326</v>
      </c>
      <c r="K8" s="17" t="s">
        <v>327</v>
      </c>
      <c r="L8" s="17" t="s">
        <v>328</v>
      </c>
      <c r="M8" s="17" t="s">
        <v>329</v>
      </c>
      <c r="N8" s="21" t="s">
        <v>330</v>
      </c>
      <c r="O8" s="17" t="s">
        <v>66</v>
      </c>
      <c r="P8" s="17" t="s">
        <v>331</v>
      </c>
    </row>
    <row r="9" customFormat="false" ht="35.05" hidden="false" customHeight="false" outlineLevel="0" collapsed="false">
      <c r="A9" s="16" t="s">
        <v>332</v>
      </c>
      <c r="B9" s="17" t="s">
        <v>12</v>
      </c>
      <c r="C9" s="17"/>
      <c r="D9" s="17"/>
      <c r="E9" s="17" t="s">
        <v>59</v>
      </c>
      <c r="F9" s="18" t="s">
        <v>4</v>
      </c>
      <c r="G9" s="19"/>
      <c r="H9" s="20" t="str">
        <f aca="false">IF(G9="","",G9+7)</f>
        <v/>
      </c>
      <c r="I9" s="17" t="s">
        <v>333</v>
      </c>
      <c r="J9" s="21" t="s">
        <v>334</v>
      </c>
      <c r="K9" s="17" t="s">
        <v>335</v>
      </c>
      <c r="L9" s="17" t="s">
        <v>336</v>
      </c>
      <c r="M9" s="17" t="s">
        <v>337</v>
      </c>
      <c r="N9" s="21" t="s">
        <v>334</v>
      </c>
      <c r="O9" s="17" t="s">
        <v>66</v>
      </c>
      <c r="P9" s="17" t="s">
        <v>338</v>
      </c>
    </row>
    <row r="10" customFormat="false" ht="23.85" hidden="false" customHeight="false" outlineLevel="0" collapsed="false">
      <c r="A10" s="16" t="s">
        <v>339</v>
      </c>
      <c r="B10" s="17" t="s">
        <v>12</v>
      </c>
      <c r="C10" s="17"/>
      <c r="D10" s="17"/>
      <c r="E10" s="17" t="s">
        <v>59</v>
      </c>
      <c r="F10" s="18" t="s">
        <v>4</v>
      </c>
      <c r="G10" s="19"/>
      <c r="H10" s="20" t="str">
        <f aca="false">IF(G10="","",G10+7)</f>
        <v/>
      </c>
      <c r="I10" s="17" t="s">
        <v>340</v>
      </c>
      <c r="J10" s="21" t="s">
        <v>341</v>
      </c>
      <c r="K10" s="17" t="s">
        <v>342</v>
      </c>
      <c r="L10" s="17" t="s">
        <v>343</v>
      </c>
      <c r="M10" s="17" t="s">
        <v>344</v>
      </c>
      <c r="N10" s="21" t="s">
        <v>345</v>
      </c>
      <c r="O10" s="17" t="s">
        <v>66</v>
      </c>
      <c r="P10" s="17" t="s">
        <v>346</v>
      </c>
    </row>
    <row r="11" customFormat="false" ht="35.05" hidden="false" customHeight="false" outlineLevel="0" collapsed="false">
      <c r="A11" s="16" t="s">
        <v>347</v>
      </c>
      <c r="B11" s="17" t="s">
        <v>12</v>
      </c>
      <c r="C11" s="17"/>
      <c r="D11" s="17"/>
      <c r="E11" s="17" t="s">
        <v>130</v>
      </c>
      <c r="F11" s="18" t="s">
        <v>4</v>
      </c>
      <c r="G11" s="19"/>
      <c r="H11" s="20" t="str">
        <f aca="false">IF(G11="","",G11+7)</f>
        <v/>
      </c>
      <c r="I11" s="17" t="s">
        <v>348</v>
      </c>
      <c r="J11" s="21" t="s">
        <v>349</v>
      </c>
      <c r="K11" s="17" t="s">
        <v>350</v>
      </c>
      <c r="L11" s="17" t="s">
        <v>351</v>
      </c>
      <c r="M11" s="17" t="s">
        <v>352</v>
      </c>
      <c r="N11" s="21" t="s">
        <v>353</v>
      </c>
      <c r="O11" s="17"/>
      <c r="P11" s="17" t="s">
        <v>354</v>
      </c>
    </row>
    <row r="12" customFormat="false" ht="35.05" hidden="false" customHeight="false" outlineLevel="0" collapsed="false">
      <c r="A12" s="16" t="s">
        <v>355</v>
      </c>
      <c r="B12" s="17" t="s">
        <v>12</v>
      </c>
      <c r="C12" s="17"/>
      <c r="D12" s="17"/>
      <c r="E12" s="17" t="s">
        <v>130</v>
      </c>
      <c r="F12" s="18" t="s">
        <v>4</v>
      </c>
      <c r="G12" s="19"/>
      <c r="H12" s="20" t="str">
        <f aca="false">IF(G12="","",G12+7)</f>
        <v/>
      </c>
      <c r="I12" s="17" t="s">
        <v>356</v>
      </c>
      <c r="J12" s="21" t="s">
        <v>357</v>
      </c>
      <c r="K12" s="17" t="s">
        <v>358</v>
      </c>
      <c r="L12" s="17" t="s">
        <v>359</v>
      </c>
      <c r="M12" s="17" t="s">
        <v>360</v>
      </c>
      <c r="N12" s="21" t="s">
        <v>361</v>
      </c>
      <c r="O12" s="17"/>
      <c r="P12" s="17" t="s">
        <v>362</v>
      </c>
    </row>
    <row r="13" customFormat="false" ht="23.85" hidden="false" customHeight="false" outlineLevel="0" collapsed="false">
      <c r="A13" s="16" t="s">
        <v>363</v>
      </c>
      <c r="B13" s="17" t="s">
        <v>12</v>
      </c>
      <c r="C13" s="17"/>
      <c r="D13" s="17"/>
      <c r="E13" s="17" t="s">
        <v>130</v>
      </c>
      <c r="F13" s="18" t="s">
        <v>4</v>
      </c>
      <c r="G13" s="19"/>
      <c r="H13" s="20" t="str">
        <f aca="false">IF(G13="","",G13+7)</f>
        <v/>
      </c>
      <c r="I13" s="17" t="s">
        <v>364</v>
      </c>
      <c r="J13" s="21" t="s">
        <v>365</v>
      </c>
      <c r="K13" s="17" t="s">
        <v>366</v>
      </c>
      <c r="L13" s="17" t="s">
        <v>367</v>
      </c>
      <c r="M13" s="17" t="s">
        <v>368</v>
      </c>
      <c r="N13" s="21" t="s">
        <v>365</v>
      </c>
      <c r="O13" s="17" t="s">
        <v>66</v>
      </c>
      <c r="P13" s="17" t="s">
        <v>369</v>
      </c>
    </row>
    <row r="14" customFormat="false" ht="23.85" hidden="false" customHeight="false" outlineLevel="0" collapsed="false">
      <c r="A14" s="16" t="s">
        <v>370</v>
      </c>
      <c r="B14" s="17" t="s">
        <v>12</v>
      </c>
      <c r="C14" s="17"/>
      <c r="D14" s="17"/>
      <c r="E14" s="17" t="s">
        <v>130</v>
      </c>
      <c r="F14" s="18" t="s">
        <v>4</v>
      </c>
      <c r="G14" s="19"/>
      <c r="H14" s="20" t="str">
        <f aca="false">IF(G14="","",G14+7)</f>
        <v/>
      </c>
      <c r="I14" s="17"/>
      <c r="J14" s="17"/>
      <c r="K14" s="17" t="s">
        <v>371</v>
      </c>
      <c r="L14" s="17" t="s">
        <v>372</v>
      </c>
      <c r="M14" s="17" t="s">
        <v>373</v>
      </c>
      <c r="N14" s="21" t="s">
        <v>374</v>
      </c>
      <c r="O14" s="17" t="s">
        <v>66</v>
      </c>
      <c r="P14" s="17" t="s">
        <v>375</v>
      </c>
    </row>
    <row r="15" customFormat="false" ht="23.85" hidden="false" customHeight="false" outlineLevel="0" collapsed="false">
      <c r="A15" s="16" t="s">
        <v>376</v>
      </c>
      <c r="B15" s="17" t="s">
        <v>12</v>
      </c>
      <c r="C15" s="17"/>
      <c r="D15" s="17"/>
      <c r="E15" s="17" t="s">
        <v>130</v>
      </c>
      <c r="F15" s="18" t="s">
        <v>4</v>
      </c>
      <c r="G15" s="19"/>
      <c r="H15" s="20" t="str">
        <f aca="false">IF(G15="","",G15+7)</f>
        <v/>
      </c>
      <c r="I15" s="17"/>
      <c r="J15" s="17"/>
      <c r="K15" s="17" t="s">
        <v>377</v>
      </c>
      <c r="L15" s="17" t="s">
        <v>378</v>
      </c>
      <c r="M15" s="17" t="s">
        <v>379</v>
      </c>
      <c r="N15" s="21" t="s">
        <v>380</v>
      </c>
      <c r="O15" s="17"/>
      <c r="P15" s="17" t="s">
        <v>381</v>
      </c>
    </row>
    <row r="16" customFormat="false" ht="23.85" hidden="false" customHeight="false" outlineLevel="0" collapsed="false">
      <c r="A16" s="16" t="s">
        <v>382</v>
      </c>
      <c r="B16" s="17" t="s">
        <v>12</v>
      </c>
      <c r="C16" s="17"/>
      <c r="D16" s="17"/>
      <c r="E16" s="17" t="s">
        <v>130</v>
      </c>
      <c r="F16" s="18" t="s">
        <v>4</v>
      </c>
      <c r="G16" s="19"/>
      <c r="H16" s="20" t="str">
        <f aca="false">IF(G16="","",G16+7)</f>
        <v/>
      </c>
      <c r="I16" s="17"/>
      <c r="J16" s="17"/>
      <c r="K16" s="17" t="s">
        <v>383</v>
      </c>
      <c r="L16" s="17" t="s">
        <v>384</v>
      </c>
      <c r="M16" s="17" t="s">
        <v>385</v>
      </c>
      <c r="N16" s="21" t="s">
        <v>386</v>
      </c>
      <c r="O16" s="17" t="s">
        <v>66</v>
      </c>
      <c r="P16" s="17" t="s">
        <v>387</v>
      </c>
    </row>
    <row r="17" customFormat="false" ht="23.85" hidden="false" customHeight="false" outlineLevel="0" collapsed="false">
      <c r="A17" s="16" t="s">
        <v>388</v>
      </c>
      <c r="B17" s="17" t="s">
        <v>12</v>
      </c>
      <c r="C17" s="17"/>
      <c r="D17" s="17"/>
      <c r="E17" s="17" t="s">
        <v>130</v>
      </c>
      <c r="F17" s="18" t="s">
        <v>4</v>
      </c>
      <c r="G17" s="19"/>
      <c r="H17" s="20" t="str">
        <f aca="false">IF(G17="","",G17+7)</f>
        <v/>
      </c>
      <c r="I17" s="17"/>
      <c r="J17" s="17"/>
      <c r="K17" s="17" t="s">
        <v>389</v>
      </c>
      <c r="L17" s="17" t="s">
        <v>390</v>
      </c>
      <c r="M17" s="17" t="s">
        <v>391</v>
      </c>
      <c r="N17" s="21" t="s">
        <v>392</v>
      </c>
      <c r="O17" s="17" t="s">
        <v>66</v>
      </c>
      <c r="P17" s="17" t="s">
        <v>393</v>
      </c>
    </row>
    <row r="18" customFormat="false" ht="23.85" hidden="false" customHeight="false" outlineLevel="0" collapsed="false">
      <c r="A18" s="16" t="s">
        <v>394</v>
      </c>
      <c r="B18" s="17" t="s">
        <v>12</v>
      </c>
      <c r="C18" s="17"/>
      <c r="D18" s="17"/>
      <c r="E18" s="17" t="s">
        <v>130</v>
      </c>
      <c r="F18" s="18" t="s">
        <v>4</v>
      </c>
      <c r="G18" s="19"/>
      <c r="H18" s="20" t="str">
        <f aca="false">IF(G18="","",G18+7)</f>
        <v/>
      </c>
      <c r="I18" s="17" t="s">
        <v>395</v>
      </c>
      <c r="J18" s="21" t="s">
        <v>396</v>
      </c>
      <c r="K18" s="17" t="s">
        <v>397</v>
      </c>
      <c r="L18" s="17" t="s">
        <v>398</v>
      </c>
      <c r="M18" s="17" t="s">
        <v>399</v>
      </c>
      <c r="N18" s="21" t="s">
        <v>400</v>
      </c>
      <c r="O18" s="17"/>
      <c r="P18" s="17"/>
    </row>
    <row r="19" customFormat="false" ht="23.85" hidden="false" customHeight="false" outlineLevel="0" collapsed="false">
      <c r="A19" s="16" t="s">
        <v>401</v>
      </c>
      <c r="B19" s="17" t="s">
        <v>12</v>
      </c>
      <c r="C19" s="17"/>
      <c r="D19" s="17"/>
      <c r="E19" s="17" t="s">
        <v>211</v>
      </c>
      <c r="F19" s="18" t="s">
        <v>4</v>
      </c>
      <c r="G19" s="19"/>
      <c r="H19" s="20" t="str">
        <f aca="false">IF(G19="","",G19+7)</f>
        <v/>
      </c>
      <c r="I19" s="17" t="s">
        <v>402</v>
      </c>
      <c r="J19" s="21" t="s">
        <v>403</v>
      </c>
      <c r="K19" s="17" t="s">
        <v>404</v>
      </c>
      <c r="L19" s="17" t="s">
        <v>405</v>
      </c>
      <c r="M19" s="17" t="s">
        <v>406</v>
      </c>
      <c r="N19" s="21" t="s">
        <v>407</v>
      </c>
      <c r="O19" s="17" t="s">
        <v>66</v>
      </c>
      <c r="P19" s="17" t="s">
        <v>408</v>
      </c>
    </row>
    <row r="20" customFormat="false" ht="23.85" hidden="false" customHeight="false" outlineLevel="0" collapsed="false">
      <c r="A20" s="16" t="s">
        <v>409</v>
      </c>
      <c r="B20" s="17" t="s">
        <v>12</v>
      </c>
      <c r="C20" s="17"/>
      <c r="D20" s="17"/>
      <c r="E20" s="17" t="s">
        <v>211</v>
      </c>
      <c r="F20" s="18" t="s">
        <v>4</v>
      </c>
      <c r="G20" s="19"/>
      <c r="H20" s="20" t="str">
        <f aca="false">IF(G20="","",G20+7)</f>
        <v/>
      </c>
      <c r="I20" s="17"/>
      <c r="J20" s="17"/>
      <c r="K20" s="17" t="s">
        <v>410</v>
      </c>
      <c r="L20" s="17" t="s">
        <v>411</v>
      </c>
      <c r="M20" s="17" t="s">
        <v>412</v>
      </c>
      <c r="N20" s="21" t="s">
        <v>413</v>
      </c>
      <c r="O20" s="17" t="s">
        <v>66</v>
      </c>
      <c r="P20" s="17"/>
    </row>
    <row r="21" customFormat="false" ht="23.85" hidden="false" customHeight="false" outlineLevel="0" collapsed="false">
      <c r="A21" s="16" t="s">
        <v>414</v>
      </c>
      <c r="B21" s="17" t="s">
        <v>12</v>
      </c>
      <c r="C21" s="17"/>
      <c r="D21" s="17"/>
      <c r="E21" s="17" t="s">
        <v>211</v>
      </c>
      <c r="F21" s="18" t="s">
        <v>4</v>
      </c>
      <c r="G21" s="19"/>
      <c r="H21" s="20" t="str">
        <f aca="false">IF(G21="","",G21+7)</f>
        <v/>
      </c>
      <c r="I21" s="17"/>
      <c r="J21" s="17"/>
      <c r="K21" s="17" t="s">
        <v>415</v>
      </c>
      <c r="L21" s="17" t="s">
        <v>416</v>
      </c>
      <c r="M21" s="17" t="s">
        <v>417</v>
      </c>
      <c r="N21" s="21" t="s">
        <v>418</v>
      </c>
      <c r="O21" s="17" t="s">
        <v>66</v>
      </c>
      <c r="P21" s="17"/>
    </row>
    <row r="22" customFormat="false" ht="23.85" hidden="false" customHeight="false" outlineLevel="0" collapsed="false">
      <c r="A22" s="16" t="s">
        <v>419</v>
      </c>
      <c r="B22" s="17" t="s">
        <v>12</v>
      </c>
      <c r="C22" s="17"/>
      <c r="D22" s="17"/>
      <c r="E22" s="17" t="s">
        <v>211</v>
      </c>
      <c r="F22" s="18" t="s">
        <v>4</v>
      </c>
      <c r="G22" s="19"/>
      <c r="H22" s="20" t="str">
        <f aca="false">IF(G22="","",G22+7)</f>
        <v/>
      </c>
      <c r="I22" s="17"/>
      <c r="J22" s="17"/>
      <c r="K22" s="17" t="s">
        <v>420</v>
      </c>
      <c r="L22" s="17" t="s">
        <v>421</v>
      </c>
      <c r="M22" s="17" t="s">
        <v>422</v>
      </c>
      <c r="N22" s="21" t="s">
        <v>423</v>
      </c>
      <c r="O22" s="17" t="s">
        <v>66</v>
      </c>
      <c r="P22" s="17" t="s">
        <v>424</v>
      </c>
    </row>
    <row r="23" customFormat="false" ht="23.85" hidden="false" customHeight="false" outlineLevel="0" collapsed="false">
      <c r="A23" s="16" t="s">
        <v>425</v>
      </c>
      <c r="B23" s="17" t="s">
        <v>12</v>
      </c>
      <c r="C23" s="17"/>
      <c r="D23" s="17"/>
      <c r="E23" s="17" t="s">
        <v>211</v>
      </c>
      <c r="F23" s="18" t="s">
        <v>4</v>
      </c>
      <c r="G23" s="19"/>
      <c r="H23" s="20" t="str">
        <f aca="false">IF(G23="","",G23+7)</f>
        <v/>
      </c>
      <c r="I23" s="17"/>
      <c r="J23" s="17"/>
      <c r="K23" s="17" t="s">
        <v>426</v>
      </c>
      <c r="L23" s="17" t="s">
        <v>427</v>
      </c>
      <c r="M23" s="17" t="s">
        <v>428</v>
      </c>
      <c r="N23" s="21" t="s">
        <v>429</v>
      </c>
      <c r="O23" s="17" t="s">
        <v>66</v>
      </c>
      <c r="P23" s="17" t="s">
        <v>430</v>
      </c>
    </row>
    <row r="24" customFormat="false" ht="23.85" hidden="false" customHeight="false" outlineLevel="0" collapsed="false">
      <c r="A24" s="16" t="s">
        <v>431</v>
      </c>
      <c r="B24" s="17" t="s">
        <v>12</v>
      </c>
      <c r="C24" s="17"/>
      <c r="D24" s="17"/>
      <c r="E24" s="17" t="s">
        <v>211</v>
      </c>
      <c r="F24" s="18" t="s">
        <v>4</v>
      </c>
      <c r="G24" s="19"/>
      <c r="H24" s="20" t="str">
        <f aca="false">IF(G24="","",G24+7)</f>
        <v/>
      </c>
      <c r="I24" s="17"/>
      <c r="J24" s="17"/>
      <c r="K24" s="17" t="s">
        <v>432</v>
      </c>
      <c r="L24" s="17" t="s">
        <v>433</v>
      </c>
      <c r="M24" s="17" t="s">
        <v>385</v>
      </c>
      <c r="N24" s="21" t="s">
        <v>434</v>
      </c>
      <c r="O24" s="17" t="s">
        <v>66</v>
      </c>
      <c r="P24" s="17" t="s">
        <v>424</v>
      </c>
    </row>
    <row r="25" customFormat="false" ht="15" hidden="false" customHeight="false" outlineLevel="0" collapsed="false">
      <c r="A25" s="16" t="s">
        <v>435</v>
      </c>
      <c r="B25" s="17" t="s">
        <v>436</v>
      </c>
      <c r="C25" s="17"/>
      <c r="D25" s="17"/>
      <c r="E25" s="17" t="s">
        <v>59</v>
      </c>
      <c r="F25" s="18" t="s">
        <v>4</v>
      </c>
      <c r="G25" s="19"/>
      <c r="H25" s="20" t="str">
        <f aca="false">IF(G25="","",G25+7)</f>
        <v/>
      </c>
      <c r="I25" s="17"/>
      <c r="J25" s="17"/>
      <c r="K25" s="17" t="s">
        <v>437</v>
      </c>
      <c r="L25" s="17" t="s">
        <v>438</v>
      </c>
      <c r="M25" s="17" t="s">
        <v>439</v>
      </c>
      <c r="N25" s="21" t="s">
        <v>440</v>
      </c>
      <c r="O25" s="17"/>
      <c r="P25" s="17"/>
    </row>
    <row r="26" customFormat="false" ht="23.85" hidden="false" customHeight="false" outlineLevel="0" collapsed="false">
      <c r="A26" s="16" t="s">
        <v>441</v>
      </c>
      <c r="B26" s="17" t="s">
        <v>436</v>
      </c>
      <c r="C26" s="17"/>
      <c r="D26" s="17"/>
      <c r="E26" s="17" t="s">
        <v>59</v>
      </c>
      <c r="F26" s="18" t="s">
        <v>4</v>
      </c>
      <c r="G26" s="19"/>
      <c r="H26" s="20" t="str">
        <f aca="false">IF(G26="","",G26+7)</f>
        <v/>
      </c>
      <c r="I26" s="17"/>
      <c r="J26" s="17"/>
      <c r="K26" s="17" t="s">
        <v>442</v>
      </c>
      <c r="L26" s="17" t="s">
        <v>443</v>
      </c>
      <c r="M26" s="17" t="s">
        <v>444</v>
      </c>
      <c r="N26" s="21" t="s">
        <v>445</v>
      </c>
      <c r="O26" s="17"/>
      <c r="P26" s="17"/>
    </row>
    <row r="27" customFormat="false" ht="23.85" hidden="false" customHeight="false" outlineLevel="0" collapsed="false">
      <c r="A27" s="16" t="s">
        <v>446</v>
      </c>
      <c r="B27" s="17" t="s">
        <v>436</v>
      </c>
      <c r="C27" s="17"/>
      <c r="D27" s="17"/>
      <c r="E27" s="17" t="s">
        <v>130</v>
      </c>
      <c r="F27" s="18" t="s">
        <v>4</v>
      </c>
      <c r="G27" s="19"/>
      <c r="H27" s="20" t="str">
        <f aca="false">IF(G27="","",G27+7)</f>
        <v/>
      </c>
      <c r="I27" s="17"/>
      <c r="J27" s="17"/>
      <c r="K27" s="17" t="s">
        <v>447</v>
      </c>
      <c r="L27" s="17" t="s">
        <v>448</v>
      </c>
      <c r="M27" s="17" t="s">
        <v>449</v>
      </c>
      <c r="N27" s="21" t="s">
        <v>450</v>
      </c>
      <c r="O27" s="17" t="s">
        <v>66</v>
      </c>
      <c r="P27" s="17" t="s">
        <v>451</v>
      </c>
    </row>
    <row r="28" customFormat="false" ht="23.85" hidden="false" customHeight="false" outlineLevel="0" collapsed="false">
      <c r="A28" s="16" t="s">
        <v>452</v>
      </c>
      <c r="B28" s="17" t="s">
        <v>436</v>
      </c>
      <c r="C28" s="17"/>
      <c r="D28" s="17"/>
      <c r="E28" s="17" t="s">
        <v>130</v>
      </c>
      <c r="F28" s="18" t="s">
        <v>4</v>
      </c>
      <c r="G28" s="19"/>
      <c r="H28" s="20" t="str">
        <f aca="false">IF(G28="","",G28+7)</f>
        <v/>
      </c>
      <c r="I28" s="17"/>
      <c r="J28" s="17"/>
      <c r="K28" s="17" t="s">
        <v>453</v>
      </c>
      <c r="L28" s="17" t="s">
        <v>454</v>
      </c>
      <c r="M28" s="17" t="s">
        <v>455</v>
      </c>
      <c r="N28" s="21" t="s">
        <v>456</v>
      </c>
      <c r="O28" s="17" t="s">
        <v>66</v>
      </c>
      <c r="P28" s="17"/>
    </row>
    <row r="29" customFormat="false" ht="23.85" hidden="false" customHeight="false" outlineLevel="0" collapsed="false">
      <c r="A29" s="16" t="s">
        <v>457</v>
      </c>
      <c r="B29" s="17" t="s">
        <v>436</v>
      </c>
      <c r="C29" s="17"/>
      <c r="D29" s="17"/>
      <c r="E29" s="17" t="s">
        <v>130</v>
      </c>
      <c r="F29" s="18" t="s">
        <v>4</v>
      </c>
      <c r="G29" s="19"/>
      <c r="H29" s="20" t="str">
        <f aca="false">IF(G29="","",G29+7)</f>
        <v/>
      </c>
      <c r="I29" s="17"/>
      <c r="J29" s="17"/>
      <c r="K29" s="17" t="s">
        <v>458</v>
      </c>
      <c r="L29" s="17" t="s">
        <v>459</v>
      </c>
      <c r="M29" s="17" t="s">
        <v>455</v>
      </c>
      <c r="N29" s="21" t="s">
        <v>460</v>
      </c>
      <c r="O29" s="17" t="s">
        <v>66</v>
      </c>
      <c r="P29" s="17"/>
    </row>
    <row r="30" customFormat="false" ht="23.85" hidden="false" customHeight="false" outlineLevel="0" collapsed="false">
      <c r="A30" s="16" t="s">
        <v>461</v>
      </c>
      <c r="B30" s="17" t="s">
        <v>436</v>
      </c>
      <c r="C30" s="17"/>
      <c r="D30" s="17"/>
      <c r="E30" s="17" t="s">
        <v>130</v>
      </c>
      <c r="F30" s="18" t="s">
        <v>4</v>
      </c>
      <c r="G30" s="19"/>
      <c r="H30" s="20" t="str">
        <f aca="false">IF(G30="","",G30+7)</f>
        <v/>
      </c>
      <c r="I30" s="17"/>
      <c r="J30" s="17"/>
      <c r="K30" s="17" t="s">
        <v>462</v>
      </c>
      <c r="L30" s="17" t="s">
        <v>463</v>
      </c>
      <c r="M30" s="17" t="s">
        <v>439</v>
      </c>
      <c r="N30" s="21" t="s">
        <v>464</v>
      </c>
      <c r="O30" s="17"/>
      <c r="P30" s="17"/>
    </row>
    <row r="31" customFormat="false" ht="23.85" hidden="false" customHeight="false" outlineLevel="0" collapsed="false">
      <c r="A31" s="16" t="s">
        <v>465</v>
      </c>
      <c r="B31" s="17" t="s">
        <v>436</v>
      </c>
      <c r="C31" s="17"/>
      <c r="D31" s="17"/>
      <c r="E31" s="17" t="s">
        <v>211</v>
      </c>
      <c r="F31" s="18" t="s">
        <v>4</v>
      </c>
      <c r="G31" s="19"/>
      <c r="H31" s="20" t="str">
        <f aca="false">IF(G31="","",G31+7)</f>
        <v/>
      </c>
      <c r="I31" s="17"/>
      <c r="J31" s="17"/>
      <c r="K31" s="17" t="s">
        <v>466</v>
      </c>
      <c r="L31" s="17" t="s">
        <v>467</v>
      </c>
      <c r="M31" s="17" t="s">
        <v>439</v>
      </c>
      <c r="N31" s="21" t="s">
        <v>468</v>
      </c>
      <c r="O31" s="17" t="s">
        <v>66</v>
      </c>
      <c r="P31" s="17" t="s">
        <v>469</v>
      </c>
    </row>
    <row r="32" customFormat="false" ht="35.05" hidden="false" customHeight="false" outlineLevel="0" collapsed="false">
      <c r="A32" s="16" t="s">
        <v>470</v>
      </c>
      <c r="B32" s="17" t="s">
        <v>471</v>
      </c>
      <c r="C32" s="17"/>
      <c r="D32" s="17"/>
      <c r="E32" s="17" t="s">
        <v>59</v>
      </c>
      <c r="F32" s="18" t="s">
        <v>4</v>
      </c>
      <c r="G32" s="19"/>
      <c r="H32" s="20" t="str">
        <f aca="false">IF(G32="","",G32+7)</f>
        <v/>
      </c>
      <c r="I32" s="17"/>
      <c r="J32" s="17"/>
      <c r="K32" s="17" t="s">
        <v>472</v>
      </c>
      <c r="L32" s="17" t="s">
        <v>473</v>
      </c>
      <c r="M32" s="17" t="s">
        <v>474</v>
      </c>
      <c r="N32" s="21" t="s">
        <v>475</v>
      </c>
      <c r="O32" s="17" t="s">
        <v>66</v>
      </c>
      <c r="P32" s="17"/>
    </row>
    <row r="33" customFormat="false" ht="23.85" hidden="false" customHeight="false" outlineLevel="0" collapsed="false">
      <c r="A33" s="16" t="s">
        <v>476</v>
      </c>
      <c r="B33" s="17" t="s">
        <v>471</v>
      </c>
      <c r="C33" s="17"/>
      <c r="D33" s="17"/>
      <c r="E33" s="17" t="s">
        <v>59</v>
      </c>
      <c r="F33" s="18" t="s">
        <v>4</v>
      </c>
      <c r="G33" s="19"/>
      <c r="H33" s="20" t="str">
        <f aca="false">IF(G33="","",G33+7)</f>
        <v/>
      </c>
      <c r="I33" s="17"/>
      <c r="J33" s="17"/>
      <c r="K33" s="17" t="s">
        <v>477</v>
      </c>
      <c r="L33" s="17" t="s">
        <v>478</v>
      </c>
      <c r="M33" s="17" t="s">
        <v>479</v>
      </c>
      <c r="N33" s="21" t="s">
        <v>361</v>
      </c>
      <c r="O33" s="17" t="s">
        <v>66</v>
      </c>
      <c r="P33" s="17"/>
    </row>
    <row r="34" customFormat="false" ht="23.85" hidden="false" customHeight="false" outlineLevel="0" collapsed="false">
      <c r="A34" s="16" t="s">
        <v>480</v>
      </c>
      <c r="B34" s="17" t="s">
        <v>471</v>
      </c>
      <c r="C34" s="17"/>
      <c r="D34" s="17"/>
      <c r="E34" s="17" t="s">
        <v>130</v>
      </c>
      <c r="F34" s="18" t="s">
        <v>4</v>
      </c>
      <c r="G34" s="19"/>
      <c r="H34" s="20" t="str">
        <f aca="false">IF(G34="","",G34+7)</f>
        <v/>
      </c>
      <c r="I34" s="17"/>
      <c r="J34" s="17"/>
      <c r="K34" s="17" t="s">
        <v>481</v>
      </c>
      <c r="L34" s="17" t="s">
        <v>482</v>
      </c>
      <c r="M34" s="17" t="s">
        <v>483</v>
      </c>
      <c r="N34" s="21" t="s">
        <v>484</v>
      </c>
      <c r="O34" s="17" t="s">
        <v>66</v>
      </c>
      <c r="P34" s="17"/>
    </row>
    <row r="35" customFormat="false" ht="23.85" hidden="false" customHeight="false" outlineLevel="0" collapsed="false">
      <c r="A35" s="16" t="s">
        <v>485</v>
      </c>
      <c r="B35" s="17" t="s">
        <v>471</v>
      </c>
      <c r="C35" s="17"/>
      <c r="D35" s="17"/>
      <c r="E35" s="17" t="s">
        <v>130</v>
      </c>
      <c r="F35" s="18" t="s">
        <v>4</v>
      </c>
      <c r="G35" s="19"/>
      <c r="H35" s="20" t="str">
        <f aca="false">IF(G35="","",G35+7)</f>
        <v/>
      </c>
      <c r="I35" s="17"/>
      <c r="J35" s="17"/>
      <c r="K35" s="17" t="s">
        <v>486</v>
      </c>
      <c r="L35" s="17" t="s">
        <v>487</v>
      </c>
      <c r="M35" s="17" t="s">
        <v>488</v>
      </c>
      <c r="N35" s="21" t="s">
        <v>489</v>
      </c>
      <c r="O35" s="17" t="s">
        <v>66</v>
      </c>
      <c r="P35" s="17"/>
    </row>
    <row r="36" customFormat="false" ht="35.05" hidden="false" customHeight="false" outlineLevel="0" collapsed="false">
      <c r="A36" s="16" t="s">
        <v>490</v>
      </c>
      <c r="B36" s="17" t="s">
        <v>471</v>
      </c>
      <c r="C36" s="17"/>
      <c r="D36" s="17"/>
      <c r="E36" s="17" t="s">
        <v>130</v>
      </c>
      <c r="F36" s="18" t="s">
        <v>4</v>
      </c>
      <c r="G36" s="19"/>
      <c r="H36" s="20" t="str">
        <f aca="false">IF(G36="","",G36+7)</f>
        <v/>
      </c>
      <c r="I36" s="17"/>
      <c r="J36" s="17"/>
      <c r="K36" s="17" t="s">
        <v>491</v>
      </c>
      <c r="L36" s="17" t="s">
        <v>492</v>
      </c>
      <c r="M36" s="17" t="s">
        <v>493</v>
      </c>
      <c r="N36" s="21" t="s">
        <v>494</v>
      </c>
      <c r="O36" s="17" t="s">
        <v>66</v>
      </c>
      <c r="P36" s="17"/>
    </row>
    <row r="37" customFormat="false" ht="23.85" hidden="false" customHeight="false" outlineLevel="0" collapsed="false">
      <c r="A37" s="16" t="s">
        <v>495</v>
      </c>
      <c r="B37" s="17" t="s">
        <v>471</v>
      </c>
      <c r="C37" s="17"/>
      <c r="D37" s="17"/>
      <c r="E37" s="17" t="s">
        <v>211</v>
      </c>
      <c r="F37" s="18" t="s">
        <v>4</v>
      </c>
      <c r="G37" s="19"/>
      <c r="H37" s="20" t="str">
        <f aca="false">IF(G37="","",G37+7)</f>
        <v/>
      </c>
      <c r="I37" s="17"/>
      <c r="J37" s="17"/>
      <c r="K37" s="17" t="s">
        <v>496</v>
      </c>
      <c r="L37" s="17" t="s">
        <v>497</v>
      </c>
      <c r="M37" s="17" t="s">
        <v>498</v>
      </c>
      <c r="N37" s="21" t="s">
        <v>499</v>
      </c>
      <c r="O37" s="17" t="s">
        <v>66</v>
      </c>
      <c r="P37" s="17"/>
    </row>
    <row r="38" customFormat="false" ht="23.85" hidden="false" customHeight="false" outlineLevel="0" collapsed="false">
      <c r="A38" s="16" t="s">
        <v>500</v>
      </c>
      <c r="B38" s="17" t="s">
        <v>501</v>
      </c>
      <c r="C38" s="17"/>
      <c r="D38" s="17"/>
      <c r="E38" s="17" t="s">
        <v>59</v>
      </c>
      <c r="F38" s="18" t="s">
        <v>4</v>
      </c>
      <c r="G38" s="19"/>
      <c r="H38" s="20" t="str">
        <f aca="false">IF(G38="","",G38+7)</f>
        <v/>
      </c>
      <c r="I38" s="17"/>
      <c r="J38" s="17"/>
      <c r="K38" s="17" t="s">
        <v>502</v>
      </c>
      <c r="L38" s="17" t="s">
        <v>503</v>
      </c>
      <c r="M38" s="17" t="s">
        <v>504</v>
      </c>
      <c r="N38" s="21" t="s">
        <v>505</v>
      </c>
      <c r="O38" s="17"/>
      <c r="P38" s="17"/>
    </row>
    <row r="39" customFormat="false" ht="23.85" hidden="false" customHeight="false" outlineLevel="0" collapsed="false">
      <c r="A39" s="16" t="s">
        <v>506</v>
      </c>
      <c r="B39" s="17" t="s">
        <v>501</v>
      </c>
      <c r="C39" s="17"/>
      <c r="D39" s="17"/>
      <c r="E39" s="17" t="s">
        <v>59</v>
      </c>
      <c r="F39" s="18" t="s">
        <v>4</v>
      </c>
      <c r="G39" s="19"/>
      <c r="H39" s="20" t="str">
        <f aca="false">IF(G39="","",G39+7)</f>
        <v/>
      </c>
      <c r="I39" s="17"/>
      <c r="J39" s="17"/>
      <c r="K39" s="17" t="s">
        <v>507</v>
      </c>
      <c r="L39" s="17" t="s">
        <v>508</v>
      </c>
      <c r="M39" s="17" t="s">
        <v>509</v>
      </c>
      <c r="N39" s="21" t="s">
        <v>510</v>
      </c>
      <c r="O39" s="17"/>
      <c r="P39" s="17"/>
    </row>
    <row r="40" customFormat="false" ht="23.85" hidden="false" customHeight="false" outlineLevel="0" collapsed="false">
      <c r="A40" s="16" t="s">
        <v>511</v>
      </c>
      <c r="B40" s="17" t="s">
        <v>501</v>
      </c>
      <c r="C40" s="17"/>
      <c r="D40" s="17"/>
      <c r="E40" s="17" t="s">
        <v>130</v>
      </c>
      <c r="F40" s="18" t="s">
        <v>4</v>
      </c>
      <c r="G40" s="19"/>
      <c r="H40" s="20" t="str">
        <f aca="false">IF(G40="","",G40+7)</f>
        <v/>
      </c>
      <c r="I40" s="17"/>
      <c r="J40" s="17"/>
      <c r="K40" s="17" t="s">
        <v>512</v>
      </c>
      <c r="L40" s="17" t="s">
        <v>513</v>
      </c>
      <c r="M40" s="17" t="s">
        <v>514</v>
      </c>
      <c r="N40" s="21" t="s">
        <v>515</v>
      </c>
      <c r="O40" s="17" t="s">
        <v>66</v>
      </c>
      <c r="P40" s="17"/>
    </row>
    <row r="41" customFormat="false" ht="23.85" hidden="false" customHeight="false" outlineLevel="0" collapsed="false">
      <c r="A41" s="16" t="s">
        <v>516</v>
      </c>
      <c r="B41" s="17" t="s">
        <v>501</v>
      </c>
      <c r="C41" s="17"/>
      <c r="D41" s="17"/>
      <c r="E41" s="17" t="s">
        <v>211</v>
      </c>
      <c r="F41" s="18" t="s">
        <v>4</v>
      </c>
      <c r="G41" s="19"/>
      <c r="H41" s="20" t="str">
        <f aca="false">IF(G41="","",G41+7)</f>
        <v/>
      </c>
      <c r="I41" s="17"/>
      <c r="J41" s="17"/>
      <c r="K41" s="17" t="s">
        <v>517</v>
      </c>
      <c r="L41" s="17" t="s">
        <v>518</v>
      </c>
      <c r="M41" s="17" t="s">
        <v>519</v>
      </c>
      <c r="N41" s="21" t="s">
        <v>520</v>
      </c>
      <c r="O41" s="17" t="s">
        <v>66</v>
      </c>
      <c r="P41" s="17" t="s">
        <v>521</v>
      </c>
    </row>
    <row r="42" customFormat="false" ht="15" hidden="false" customHeight="false" outlineLevel="0" collapsed="false">
      <c r="G42" s="22"/>
      <c r="H42" s="23" t="str">
        <f aca="false">IF(G42="","",G42+7)</f>
        <v/>
      </c>
    </row>
    <row r="43" customFormat="false" ht="15" hidden="false" customHeight="false" outlineLevel="0" collapsed="false">
      <c r="G43" s="22"/>
      <c r="H43" s="23" t="str">
        <f aca="false">IF(G43="","",G43+7)</f>
        <v/>
      </c>
    </row>
    <row r="44" customFormat="false" ht="15" hidden="false" customHeight="false" outlineLevel="0" collapsed="false">
      <c r="G44" s="22"/>
      <c r="H44" s="23" t="str">
        <f aca="false">IF(G44="","",G44+7)</f>
        <v/>
      </c>
    </row>
    <row r="45" customFormat="false" ht="15" hidden="false" customHeight="false" outlineLevel="0" collapsed="false">
      <c r="G45" s="22"/>
      <c r="H45" s="23" t="str">
        <f aca="false">IF(G45="","",G45+7)</f>
        <v/>
      </c>
    </row>
    <row r="46" customFormat="false" ht="15" hidden="false" customHeight="false" outlineLevel="0" collapsed="false">
      <c r="G46" s="22"/>
      <c r="H46" s="23" t="str">
        <f aca="false">IF(G46="","",G46+7)</f>
        <v/>
      </c>
    </row>
    <row r="47" customFormat="false" ht="15" hidden="false" customHeight="false" outlineLevel="0" collapsed="false">
      <c r="G47" s="22"/>
      <c r="H47" s="23" t="str">
        <f aca="false">IF(G47="","",G47+7)</f>
        <v/>
      </c>
    </row>
    <row r="48" customFormat="false" ht="15" hidden="false" customHeight="false" outlineLevel="0" collapsed="false">
      <c r="G48" s="22"/>
      <c r="H48" s="23" t="str">
        <f aca="false">IF(G48="","",G48+7)</f>
        <v/>
      </c>
    </row>
    <row r="49" customFormat="false" ht="15" hidden="false" customHeight="false" outlineLevel="0" collapsed="false">
      <c r="G49" s="22"/>
      <c r="H49" s="23" t="str">
        <f aca="false">IF(G49="","",G49+7)</f>
        <v/>
      </c>
    </row>
    <row r="50" customFormat="false" ht="15" hidden="false" customHeight="false" outlineLevel="0" collapsed="false">
      <c r="G50" s="22"/>
      <c r="H50" s="23" t="str">
        <f aca="false">IF(G50="","",G50+7)</f>
        <v/>
      </c>
    </row>
    <row r="51" customFormat="false" ht="15" hidden="false" customHeight="false" outlineLevel="0" collapsed="false">
      <c r="G51" s="22"/>
      <c r="H51" s="23" t="str">
        <f aca="false">IF(G51="","",G51+7)</f>
        <v/>
      </c>
    </row>
    <row r="52" customFormat="false" ht="15" hidden="false" customHeight="false" outlineLevel="0" collapsed="false">
      <c r="G52" s="22"/>
      <c r="H52" s="23" t="str">
        <f aca="false">IF(G52="","",G52+7)</f>
        <v/>
      </c>
    </row>
    <row r="53" customFormat="false" ht="15" hidden="false" customHeight="false" outlineLevel="0" collapsed="false">
      <c r="G53" s="22"/>
      <c r="H53" s="23" t="str">
        <f aca="false">IF(G53="","",G53+7)</f>
        <v/>
      </c>
    </row>
    <row r="54" customFormat="false" ht="15" hidden="false" customHeight="false" outlineLevel="0" collapsed="false">
      <c r="G54" s="22"/>
      <c r="H54" s="23" t="str">
        <f aca="false">IF(G54="","",G54+7)</f>
        <v/>
      </c>
    </row>
    <row r="55" customFormat="false" ht="15" hidden="false" customHeight="false" outlineLevel="0" collapsed="false">
      <c r="G55" s="22"/>
      <c r="H55" s="23" t="str">
        <f aca="false">IF(G55="","",G55+7)</f>
        <v/>
      </c>
    </row>
    <row r="56" customFormat="false" ht="15" hidden="false" customHeight="false" outlineLevel="0" collapsed="false">
      <c r="G56" s="22"/>
      <c r="H56" s="23" t="str">
        <f aca="false">IF(G56="","",G56+7)</f>
        <v/>
      </c>
    </row>
    <row r="57" customFormat="false" ht="15" hidden="false" customHeight="false" outlineLevel="0" collapsed="false">
      <c r="G57" s="22"/>
      <c r="H57" s="23" t="str">
        <f aca="false">IF(G57="","",G57+7)</f>
        <v/>
      </c>
    </row>
    <row r="58" customFormat="false" ht="15" hidden="false" customHeight="false" outlineLevel="0" collapsed="false">
      <c r="G58" s="22"/>
      <c r="H58" s="23" t="str">
        <f aca="false">IF(G58="","",G58+7)</f>
        <v/>
      </c>
    </row>
    <row r="59" customFormat="false" ht="15" hidden="false" customHeight="false" outlineLevel="0" collapsed="false">
      <c r="G59" s="22"/>
      <c r="H59" s="23" t="str">
        <f aca="false">IF(G59="","",G59+7)</f>
        <v/>
      </c>
    </row>
    <row r="60" customFormat="false" ht="15" hidden="false" customHeight="false" outlineLevel="0" collapsed="false">
      <c r="G60" s="22"/>
      <c r="H60" s="23" t="str">
        <f aca="false">IF(G60="","",G60+7)</f>
        <v/>
      </c>
    </row>
    <row r="61" customFormat="false" ht="15" hidden="false" customHeight="false" outlineLevel="0" collapsed="false">
      <c r="G61" s="22"/>
      <c r="H61" s="23" t="str">
        <f aca="false">IF(G61="","",G61+7)</f>
        <v/>
      </c>
    </row>
    <row r="62" customFormat="false" ht="15" hidden="false" customHeight="false" outlineLevel="0" collapsed="false">
      <c r="G62" s="22"/>
      <c r="H62" s="23" t="str">
        <f aca="false">IF(G62="","",G62+7)</f>
        <v/>
      </c>
    </row>
    <row r="63" customFormat="false" ht="15" hidden="false" customHeight="false" outlineLevel="0" collapsed="false">
      <c r="G63" s="22"/>
      <c r="H63" s="23" t="str">
        <f aca="false">IF(G63="","",G63+7)</f>
        <v/>
      </c>
    </row>
    <row r="64" customFormat="false" ht="15" hidden="false" customHeight="false" outlineLevel="0" collapsed="false">
      <c r="G64" s="22"/>
      <c r="H64" s="23" t="str">
        <f aca="false">IF(G64="","",G64+7)</f>
        <v/>
      </c>
    </row>
    <row r="65" customFormat="false" ht="15" hidden="false" customHeight="false" outlineLevel="0" collapsed="false">
      <c r="G65" s="22"/>
      <c r="H65" s="23" t="str">
        <f aca="false">IF(G65="","",G65+7)</f>
        <v/>
      </c>
    </row>
    <row r="66" customFormat="false" ht="15" hidden="false" customHeight="false" outlineLevel="0" collapsed="false">
      <c r="G66" s="22"/>
      <c r="H66" s="23" t="str">
        <f aca="false">IF(G66="","",G66+7)</f>
        <v/>
      </c>
    </row>
    <row r="67" customFormat="false" ht="15" hidden="false" customHeight="false" outlineLevel="0" collapsed="false">
      <c r="G67" s="22"/>
      <c r="H67" s="23" t="str">
        <f aca="false">IF(G67="","",G67+7)</f>
        <v/>
      </c>
    </row>
    <row r="68" customFormat="false" ht="15" hidden="false" customHeight="false" outlineLevel="0" collapsed="false">
      <c r="G68" s="22"/>
      <c r="H68" s="23" t="str">
        <f aca="false">IF(G68="","",G68+7)</f>
        <v/>
      </c>
    </row>
    <row r="69" customFormat="false" ht="15" hidden="false" customHeight="false" outlineLevel="0" collapsed="false">
      <c r="G69" s="22"/>
      <c r="H69" s="23" t="str">
        <f aca="false">IF(G69="","",G69+7)</f>
        <v/>
      </c>
    </row>
    <row r="70" customFormat="false" ht="15" hidden="false" customHeight="false" outlineLevel="0" collapsed="false">
      <c r="G70" s="22"/>
      <c r="H70" s="23" t="str">
        <f aca="false">IF(G70="","",G70+7)</f>
        <v/>
      </c>
    </row>
    <row r="71" customFormat="false" ht="15" hidden="false" customHeight="false" outlineLevel="0" collapsed="false">
      <c r="G71" s="22"/>
      <c r="H71" s="23" t="str">
        <f aca="false">IF(G71="","",G71+7)</f>
        <v/>
      </c>
    </row>
    <row r="72" customFormat="false" ht="15" hidden="false" customHeight="false" outlineLevel="0" collapsed="false">
      <c r="G72" s="22"/>
      <c r="H72" s="23" t="str">
        <f aca="false">IF(G72="","",G72+7)</f>
        <v/>
      </c>
    </row>
    <row r="73" customFormat="false" ht="15" hidden="false" customHeight="false" outlineLevel="0" collapsed="false">
      <c r="G73" s="22"/>
      <c r="H73" s="23" t="str">
        <f aca="false">IF(G73="","",G73+7)</f>
        <v/>
      </c>
    </row>
    <row r="74" customFormat="false" ht="15" hidden="false" customHeight="false" outlineLevel="0" collapsed="false">
      <c r="G74" s="22"/>
      <c r="H74" s="23" t="str">
        <f aca="false">IF(G74="","",G74+7)</f>
        <v/>
      </c>
    </row>
    <row r="75" customFormat="false" ht="15" hidden="false" customHeight="false" outlineLevel="0" collapsed="false">
      <c r="G75" s="22"/>
      <c r="H75" s="23" t="str">
        <f aca="false">IF(G75="","",G75+7)</f>
        <v/>
      </c>
    </row>
    <row r="76" customFormat="false" ht="15" hidden="false" customHeight="false" outlineLevel="0" collapsed="false">
      <c r="G76" s="22"/>
      <c r="H76" s="23" t="str">
        <f aca="false">IF(G76="","",G76+7)</f>
        <v/>
      </c>
    </row>
    <row r="77" customFormat="false" ht="15" hidden="false" customHeight="false" outlineLevel="0" collapsed="false">
      <c r="G77" s="22"/>
      <c r="H77" s="23" t="str">
        <f aca="false">IF(G77="","",G77+7)</f>
        <v/>
      </c>
    </row>
    <row r="78" customFormat="false" ht="15" hidden="false" customHeight="false" outlineLevel="0" collapsed="false">
      <c r="G78" s="22"/>
      <c r="H78" s="23" t="str">
        <f aca="false">IF(G78="","",G78+7)</f>
        <v/>
      </c>
    </row>
    <row r="79" customFormat="false" ht="15" hidden="false" customHeight="false" outlineLevel="0" collapsed="false">
      <c r="G79" s="22"/>
      <c r="H79" s="23" t="str">
        <f aca="false">IF(G79="","",G79+7)</f>
        <v/>
      </c>
    </row>
    <row r="80" customFormat="false" ht="15" hidden="false" customHeight="false" outlineLevel="0" collapsed="false">
      <c r="G80" s="22"/>
      <c r="H80" s="23" t="str">
        <f aca="false">IF(G80="","",G80+7)</f>
        <v/>
      </c>
    </row>
    <row r="81" customFormat="false" ht="15" hidden="false" customHeight="false" outlineLevel="0" collapsed="false">
      <c r="G81" s="22"/>
      <c r="H81" s="23" t="str">
        <f aca="false">IF(G81="","",G81+7)</f>
        <v/>
      </c>
    </row>
  </sheetData>
  <autoFilter ref="A4:P41"/>
  <conditionalFormatting sqref="A5:P81">
    <cfRule type="expression" priority="2" aboveAverage="0" equalAverage="0" bottom="0" percent="0" rank="0" text="" dxfId="7">
      <formula>$F5="Pitched"</formula>
    </cfRule>
    <cfRule type="expression" priority="3" aboveAverage="0" equalAverage="0" bottom="0" percent="0" rank="0" text="" dxfId="7">
      <formula>$F5="Followed up"</formula>
    </cfRule>
    <cfRule type="expression" priority="4" aboveAverage="0" equalAverage="0" bottom="0" percent="0" rank="0" text="" dxfId="8">
      <formula>$F5="Replied"</formula>
    </cfRule>
    <cfRule type="expression" priority="5" aboveAverage="0" equalAverage="0" bottom="0" percent="0" rank="0" text="" dxfId="9">
      <formula>$F5="Booked"</formula>
    </cfRule>
    <cfRule type="expression" priority="6" aboveAverage="0" equalAverage="0" bottom="0" percent="0" rank="0" text="" dxfId="10">
      <formula>$F5="Declined"</formula>
    </cfRule>
  </conditionalFormatting>
  <conditionalFormatting sqref="E5:E81">
    <cfRule type="expression" priority="7" aboveAverage="0" equalAverage="0" bottom="0" percent="0" rank="0" text="" dxfId="11">
      <formula>$E5="High"</formula>
    </cfRule>
  </conditionalFormatting>
  <conditionalFormatting sqref="H5:H81">
    <cfRule type="expression" priority="8" aboveAverage="0" equalAverage="0" bottom="0" percent="0" rank="0" text="" dxfId="12">
      <formula>AND($H5&lt;&gt;"",$H5&lt;=TODAY(),$F5&lt;&gt;"Replied",$F5&lt;&gt;"Booked",$F5&lt;&gt;"Declined")</formula>
    </cfRule>
  </conditionalFormatting>
  <dataValidations count="2">
    <dataValidation allowBlank="true" errorStyle="stop" operator="between" showDropDown="false" showErrorMessage="false" showInputMessage="false" sqref="F5:F81" type="list">
      <formula1>"To pitch,Pitched,Followed up,Replied,Booked,Declined"</formula1>
      <formula2>0</formula2>
    </dataValidation>
    <dataValidation allowBlank="true" errorStyle="stop" operator="between" showDropDown="false" showErrorMessage="false" showInputMessage="false" sqref="E5:E81" type="list">
      <formula1>"High,Medium,Low"</formula1>
      <formula2>0</formula2>
    </dataValidation>
  </dataValidations>
  <hyperlinks>
    <hyperlink ref="J5" r:id="rId1" display="https://www.businessoffashion.com/contact-us/"/>
    <hyperlink ref="N5" r:id="rId2" display="https://www.businessoffashion.com/contact"/>
    <hyperlink ref="J6" r:id="rId3" display="https://www.drapersonline.com/contact-us"/>
    <hyperlink ref="N6" r:id="rId4" display="https://www.drapersonline.com/contact-us"/>
    <hyperlink ref="J7" r:id="rId5" display="https://graziadaily.co.uk/contact/"/>
    <hyperlink ref="N7" r:id="rId6" display="https://www.inpublishing.co.uk"/>
    <hyperlink ref="J8" r:id="rId7" display="https://www.theindustry.fashion/the-team/"/>
    <hyperlink ref="N8" r:id="rId8" display="https://theindustry.beauty/editorial-policy"/>
    <hyperlink ref="J9" r:id="rId9" display="https://www.voguebusiness.com"/>
    <hyperlink ref="N9" r:id="rId10" display="https://www.voguebusiness.com"/>
    <hyperlink ref="J10" r:id="rId11" display="https://www.whowhatwear.com/about-who-what-wear"/>
    <hyperlink ref="N10" r:id="rId12" display="https://www.whowhatwear.com/fashion/substack-fall-2026-fashion-trends"/>
    <hyperlink ref="J11" r:id="rId13" display="https://www.dazeddigital.com/contact"/>
    <hyperlink ref="N11" r:id="rId14" display="https://www.dazeddigital.com"/>
    <hyperlink ref="J12" r:id="rId15" display="https://www.glossy.co/masthead/"/>
    <hyperlink ref="N12" r:id="rId16" display="https://www.glossy.co/about-us"/>
    <hyperlink ref="J13" r:id="rId17" display="https://i-d.co/article/how-to-pitch-to-i-d/"/>
    <hyperlink ref="N13" r:id="rId18" display="https://i-d.co/article/how-to-pitch-to-i-d/"/>
    <hyperlink ref="N14" r:id="rId19" display="https://muckrack.com/joe-bromley"/>
    <hyperlink ref="N15" r:id="rId20" display="https://www.modaes.com/redaccion"/>
    <hyperlink ref="N16" r:id="rId21" display="https://smoda.elpais.com"/>
    <hyperlink ref="N17" r:id="rId22" display="https://www.stylist.co.uk"/>
    <hyperlink ref="J18" r:id="rId23" display="https://wwd.com/news-tip/"/>
    <hyperlink ref="N18" r:id="rId24" display="https://wwd.com/contact-us/"/>
    <hyperlink ref="J19" r:id="rId25" display="https://fashionista.com/page/contact"/>
    <hyperlink ref="N19" r:id="rId26" display="https://fashionista.com"/>
    <hyperlink ref="N20" r:id="rId27" display="https://hypebeast.com"/>
    <hyperlink ref="N21" r:id="rId28" display="https://www.refinery29.com/en-gb"/>
    <hyperlink ref="N22" r:id="rId29" display="https://www.telva.com"/>
    <hyperlink ref="N23" r:id="rId30" display="https://www.theguardian.com/fashion"/>
    <hyperlink ref="N24" r:id="rId31" display="https://www.vogue.es"/>
    <hyperlink ref="N25" r:id="rId32" display="https://posttastebytrina.substack.com"/>
    <hyperlink ref="N26" r:id="rId33" display="https://styleanalytics.substack.com/about"/>
    <hyperlink ref="N27" r:id="rId34" display="https://backrow.net"/>
    <hyperlink ref="N28" r:id="rId35" display="https://cnnpressroom.blogs.cnn.com"/>
    <hyperlink ref="N29" r:id="rId36" display="https://puck.news/line-sheet"/>
    <hyperlink ref="N30" r:id="rId37" display="https://emiliapetrarca.substack.com/about"/>
    <hyperlink ref="N31" r:id="rId38" display="https://substack.com"/>
    <hyperlink ref="N32" r:id="rId39" display="https://www.businessoffashion.com"/>
    <hyperlink ref="N33" r:id="rId40" display="https://www.glossy.co/about-us"/>
    <hyperlink ref="N34" r:id="rId41" display="https://rephonic.com/podcasts/the-future-of-fashion-business"/>
    <hyperlink ref="N35" r:id="rId42" display="https://www.drapersonline.com"/>
    <hyperlink ref="N36" r:id="rId43" display="https://podcast.feedspot.com/podcasts_moda_espana/"/>
    <hyperlink ref="N37" r:id="rId44" display="https://articlesofinterest.substack.com"/>
    <hyperlink ref="N38" r:id="rId45" display="https://bsky.app/search?q=%23journorequest"/>
    <hyperlink ref="N39" r:id="rId46" display="https://www.helpareporter.com"/>
    <hyperlink ref="N40" r:id="rId47" display="https://www.qwoted.com"/>
    <hyperlink ref="N41" r:id="rId48" display="https://www.sourceofsource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3"/>
    <col collapsed="false" customWidth="true" hidden="false" outlineLevel="0" max="4" min="4" style="0" width="11"/>
    <col collapsed="false" customWidth="true" hidden="false" outlineLevel="0" max="5" min="5" style="0" width="9"/>
    <col collapsed="false" customWidth="true" hidden="false" outlineLevel="0" max="6" min="6" style="0" width="13"/>
    <col collapsed="false" customWidth="true" hidden="false" outlineLevel="0" max="8" min="7" style="0" width="12"/>
    <col collapsed="false" customWidth="true" hidden="false" outlineLevel="0" max="9" min="9" style="0" width="36"/>
    <col collapsed="false" customWidth="true" hidden="false" outlineLevel="0" max="10" min="10" style="0" width="30"/>
    <col collapsed="false" customWidth="true" hidden="false" outlineLevel="0" max="11" min="11" style="0" width="44"/>
    <col collapsed="false" customWidth="true" hidden="false" outlineLevel="0" max="12" min="12" style="0" width="40"/>
    <col collapsed="false" customWidth="true" hidden="false" outlineLevel="0" max="13" min="13" style="0" width="36"/>
    <col collapsed="false" customWidth="true" hidden="false" outlineLevel="0" max="14" min="14" style="0" width="30"/>
    <col collapsed="false" customWidth="true" hidden="false" outlineLevel="0" max="15" min="15" style="0" width="26"/>
    <col collapsed="false" customWidth="true" hidden="false" outlineLevel="0" max="16" min="16" style="0" width="36"/>
  </cols>
  <sheetData>
    <row r="1" customFormat="false" ht="27.75" hidden="false" customHeight="true" outlineLevel="0" collapsed="false">
      <c r="A1" s="1" t="s">
        <v>13</v>
      </c>
    </row>
    <row r="2" customFormat="false" ht="15" hidden="false" customHeight="false" outlineLevel="0" collapsed="false">
      <c r="A2" s="2" t="s">
        <v>522</v>
      </c>
    </row>
    <row r="3" customFormat="false" ht="3.75" hidden="false" customHeight="true" outlineLevel="0" collapsed="false">
      <c r="A3" s="3"/>
      <c r="B3" s="3"/>
      <c r="C3" s="3"/>
      <c r="D3" s="3"/>
      <c r="E3" s="3"/>
      <c r="F3" s="3"/>
      <c r="G3" s="3"/>
      <c r="H3" s="3"/>
      <c r="I3" s="3"/>
      <c r="J3" s="3"/>
      <c r="K3" s="3"/>
      <c r="L3" s="3"/>
      <c r="M3" s="3"/>
      <c r="N3" s="3"/>
      <c r="O3" s="3"/>
      <c r="P3" s="3"/>
    </row>
    <row r="4" customFormat="false" ht="30" hidden="false" customHeight="true" outlineLevel="0" collapsed="false">
      <c r="A4" s="15" t="s">
        <v>40</v>
      </c>
      <c r="B4" s="15" t="s">
        <v>41</v>
      </c>
      <c r="C4" s="15" t="s">
        <v>42</v>
      </c>
      <c r="D4" s="15" t="s">
        <v>43</v>
      </c>
      <c r="E4" s="15" t="s">
        <v>44</v>
      </c>
      <c r="F4" s="15" t="s">
        <v>16</v>
      </c>
      <c r="G4" s="15" t="s">
        <v>45</v>
      </c>
      <c r="H4" s="15" t="s">
        <v>46</v>
      </c>
      <c r="I4" s="15" t="s">
        <v>47</v>
      </c>
      <c r="J4" s="15" t="s">
        <v>48</v>
      </c>
      <c r="K4" s="15" t="s">
        <v>49</v>
      </c>
      <c r="L4" s="15" t="s">
        <v>50</v>
      </c>
      <c r="M4" s="15" t="s">
        <v>51</v>
      </c>
      <c r="N4" s="15" t="s">
        <v>52</v>
      </c>
      <c r="O4" s="15" t="s">
        <v>53</v>
      </c>
      <c r="P4" s="15" t="s">
        <v>54</v>
      </c>
    </row>
    <row r="5" customFormat="false" ht="35.05" hidden="false" customHeight="false" outlineLevel="0" collapsed="false">
      <c r="A5" s="16" t="s">
        <v>523</v>
      </c>
      <c r="B5" s="17" t="s">
        <v>524</v>
      </c>
      <c r="C5" s="17"/>
      <c r="D5" s="17"/>
      <c r="E5" s="17" t="s">
        <v>59</v>
      </c>
      <c r="F5" s="18" t="s">
        <v>4</v>
      </c>
      <c r="G5" s="19"/>
      <c r="H5" s="20" t="str">
        <f aca="false">IF(G5="","",G5+7)</f>
        <v/>
      </c>
      <c r="I5" s="17" t="s">
        <v>525</v>
      </c>
      <c r="J5" s="21" t="s">
        <v>526</v>
      </c>
      <c r="K5" s="17" t="s">
        <v>527</v>
      </c>
      <c r="L5" s="17" t="s">
        <v>528</v>
      </c>
      <c r="M5" s="17" t="s">
        <v>529</v>
      </c>
      <c r="N5" s="21" t="s">
        <v>530</v>
      </c>
      <c r="O5" s="17" t="s">
        <v>531</v>
      </c>
      <c r="P5" s="17" t="s">
        <v>532</v>
      </c>
    </row>
    <row r="6" customFormat="false" ht="35.05" hidden="false" customHeight="false" outlineLevel="0" collapsed="false">
      <c r="A6" s="16" t="s">
        <v>533</v>
      </c>
      <c r="B6" s="17" t="s">
        <v>524</v>
      </c>
      <c r="C6" s="17"/>
      <c r="D6" s="17"/>
      <c r="E6" s="17" t="s">
        <v>59</v>
      </c>
      <c r="F6" s="18" t="s">
        <v>4</v>
      </c>
      <c r="G6" s="19"/>
      <c r="H6" s="20" t="str">
        <f aca="false">IF(G6="","",G6+7)</f>
        <v/>
      </c>
      <c r="I6" s="17" t="s">
        <v>534</v>
      </c>
      <c r="J6" s="21" t="s">
        <v>535</v>
      </c>
      <c r="K6" s="17" t="s">
        <v>536</v>
      </c>
      <c r="L6" s="17" t="s">
        <v>537</v>
      </c>
      <c r="M6" s="17" t="s">
        <v>538</v>
      </c>
      <c r="N6" s="21" t="s">
        <v>539</v>
      </c>
      <c r="O6" s="17"/>
      <c r="P6" s="17" t="s">
        <v>540</v>
      </c>
    </row>
    <row r="7" customFormat="false" ht="35.05" hidden="false" customHeight="false" outlineLevel="0" collapsed="false">
      <c r="A7" s="16" t="s">
        <v>541</v>
      </c>
      <c r="B7" s="17" t="s">
        <v>524</v>
      </c>
      <c r="C7" s="17"/>
      <c r="D7" s="17"/>
      <c r="E7" s="17" t="s">
        <v>59</v>
      </c>
      <c r="F7" s="18" t="s">
        <v>4</v>
      </c>
      <c r="G7" s="19"/>
      <c r="H7" s="20" t="str">
        <f aca="false">IF(G7="","",G7+7)</f>
        <v/>
      </c>
      <c r="I7" s="17" t="s">
        <v>542</v>
      </c>
      <c r="J7" s="21" t="s">
        <v>543</v>
      </c>
      <c r="K7" s="17" t="s">
        <v>544</v>
      </c>
      <c r="L7" s="17" t="s">
        <v>545</v>
      </c>
      <c r="M7" s="17" t="s">
        <v>546</v>
      </c>
      <c r="N7" s="21" t="s">
        <v>547</v>
      </c>
      <c r="O7" s="17" t="s">
        <v>66</v>
      </c>
      <c r="P7" s="17" t="s">
        <v>548</v>
      </c>
    </row>
    <row r="8" customFormat="false" ht="35.05" hidden="false" customHeight="false" outlineLevel="0" collapsed="false">
      <c r="A8" s="16" t="s">
        <v>549</v>
      </c>
      <c r="B8" s="17" t="s">
        <v>524</v>
      </c>
      <c r="C8" s="17"/>
      <c r="D8" s="17"/>
      <c r="E8" s="17" t="s">
        <v>59</v>
      </c>
      <c r="F8" s="18" t="s">
        <v>4</v>
      </c>
      <c r="G8" s="19"/>
      <c r="H8" s="20" t="str">
        <f aca="false">IF(G8="","",G8+7)</f>
        <v/>
      </c>
      <c r="I8" s="17" t="s">
        <v>550</v>
      </c>
      <c r="J8" s="21" t="s">
        <v>551</v>
      </c>
      <c r="K8" s="17" t="s">
        <v>552</v>
      </c>
      <c r="L8" s="17" t="s">
        <v>553</v>
      </c>
      <c r="M8" s="17" t="s">
        <v>554</v>
      </c>
      <c r="N8" s="21" t="s">
        <v>555</v>
      </c>
      <c r="O8" s="17"/>
      <c r="P8" s="17" t="s">
        <v>556</v>
      </c>
    </row>
    <row r="9" customFormat="false" ht="23.85" hidden="false" customHeight="false" outlineLevel="0" collapsed="false">
      <c r="A9" s="16" t="s">
        <v>557</v>
      </c>
      <c r="B9" s="17" t="s">
        <v>524</v>
      </c>
      <c r="C9" s="17"/>
      <c r="D9" s="17"/>
      <c r="E9" s="17" t="s">
        <v>130</v>
      </c>
      <c r="F9" s="18" t="s">
        <v>4</v>
      </c>
      <c r="G9" s="19"/>
      <c r="H9" s="20" t="str">
        <f aca="false">IF(G9="","",G9+7)</f>
        <v/>
      </c>
      <c r="I9" s="17" t="s">
        <v>558</v>
      </c>
      <c r="J9" s="21" t="s">
        <v>559</v>
      </c>
      <c r="K9" s="17" t="s">
        <v>560</v>
      </c>
      <c r="L9" s="17" t="s">
        <v>561</v>
      </c>
      <c r="M9" s="17" t="s">
        <v>562</v>
      </c>
      <c r="N9" s="21" t="s">
        <v>563</v>
      </c>
      <c r="O9" s="17" t="s">
        <v>564</v>
      </c>
      <c r="P9" s="17"/>
    </row>
    <row r="10" customFormat="false" ht="35.05" hidden="false" customHeight="false" outlineLevel="0" collapsed="false">
      <c r="A10" s="16" t="s">
        <v>565</v>
      </c>
      <c r="B10" s="17" t="s">
        <v>524</v>
      </c>
      <c r="C10" s="17"/>
      <c r="D10" s="17"/>
      <c r="E10" s="17" t="s">
        <v>130</v>
      </c>
      <c r="F10" s="18" t="s">
        <v>4</v>
      </c>
      <c r="G10" s="19"/>
      <c r="H10" s="20" t="str">
        <f aca="false">IF(G10="","",G10+7)</f>
        <v/>
      </c>
      <c r="I10" s="17" t="s">
        <v>566</v>
      </c>
      <c r="J10" s="21" t="s">
        <v>567</v>
      </c>
      <c r="K10" s="17" t="s">
        <v>568</v>
      </c>
      <c r="L10" s="17" t="s">
        <v>569</v>
      </c>
      <c r="M10" s="17" t="s">
        <v>570</v>
      </c>
      <c r="N10" s="21" t="s">
        <v>567</v>
      </c>
      <c r="O10" s="17" t="s">
        <v>571</v>
      </c>
      <c r="P10" s="17" t="s">
        <v>572</v>
      </c>
    </row>
    <row r="11" customFormat="false" ht="35.05" hidden="false" customHeight="false" outlineLevel="0" collapsed="false">
      <c r="A11" s="16" t="s">
        <v>573</v>
      </c>
      <c r="B11" s="17" t="s">
        <v>524</v>
      </c>
      <c r="C11" s="17"/>
      <c r="D11" s="17"/>
      <c r="E11" s="17" t="s">
        <v>130</v>
      </c>
      <c r="F11" s="18" t="s">
        <v>4</v>
      </c>
      <c r="G11" s="19"/>
      <c r="H11" s="20" t="str">
        <f aca="false">IF(G11="","",G11+7)</f>
        <v/>
      </c>
      <c r="I11" s="17" t="s">
        <v>574</v>
      </c>
      <c r="J11" s="21" t="s">
        <v>575</v>
      </c>
      <c r="K11" s="17" t="s">
        <v>576</v>
      </c>
      <c r="L11" s="17" t="s">
        <v>577</v>
      </c>
      <c r="M11" s="17" t="s">
        <v>578</v>
      </c>
      <c r="N11" s="21" t="s">
        <v>579</v>
      </c>
      <c r="O11" s="17" t="s">
        <v>66</v>
      </c>
      <c r="P11" s="17"/>
    </row>
    <row r="12" customFormat="false" ht="23.85" hidden="false" customHeight="false" outlineLevel="0" collapsed="false">
      <c r="A12" s="16" t="s">
        <v>580</v>
      </c>
      <c r="B12" s="17" t="s">
        <v>524</v>
      </c>
      <c r="C12" s="17"/>
      <c r="D12" s="17"/>
      <c r="E12" s="17" t="s">
        <v>130</v>
      </c>
      <c r="F12" s="18" t="s">
        <v>4</v>
      </c>
      <c r="G12" s="19"/>
      <c r="H12" s="20" t="str">
        <f aca="false">IF(G12="","",G12+7)</f>
        <v/>
      </c>
      <c r="I12" s="17"/>
      <c r="J12" s="17"/>
      <c r="K12" s="17" t="s">
        <v>581</v>
      </c>
      <c r="L12" s="17" t="s">
        <v>582</v>
      </c>
      <c r="M12" s="17" t="s">
        <v>583</v>
      </c>
      <c r="N12" s="21" t="s">
        <v>584</v>
      </c>
      <c r="O12" s="17" t="s">
        <v>66</v>
      </c>
      <c r="P12" s="17"/>
    </row>
    <row r="13" customFormat="false" ht="23.85" hidden="false" customHeight="false" outlineLevel="0" collapsed="false">
      <c r="A13" s="16" t="s">
        <v>585</v>
      </c>
      <c r="B13" s="17" t="s">
        <v>524</v>
      </c>
      <c r="C13" s="17"/>
      <c r="D13" s="17"/>
      <c r="E13" s="17" t="s">
        <v>130</v>
      </c>
      <c r="F13" s="18" t="s">
        <v>4</v>
      </c>
      <c r="G13" s="19"/>
      <c r="H13" s="20" t="str">
        <f aca="false">IF(G13="","",G13+7)</f>
        <v/>
      </c>
      <c r="I13" s="17" t="s">
        <v>586</v>
      </c>
      <c r="J13" s="21" t="s">
        <v>587</v>
      </c>
      <c r="K13" s="17" t="s">
        <v>588</v>
      </c>
      <c r="L13" s="17" t="s">
        <v>589</v>
      </c>
      <c r="M13" s="17" t="s">
        <v>590</v>
      </c>
      <c r="N13" s="21" t="s">
        <v>591</v>
      </c>
      <c r="O13" s="17"/>
      <c r="P13" s="17"/>
    </row>
    <row r="14" customFormat="false" ht="35.05" hidden="false" customHeight="false" outlineLevel="0" collapsed="false">
      <c r="A14" s="16" t="s">
        <v>592</v>
      </c>
      <c r="B14" s="17" t="s">
        <v>524</v>
      </c>
      <c r="C14" s="17"/>
      <c r="D14" s="17"/>
      <c r="E14" s="17" t="s">
        <v>211</v>
      </c>
      <c r="F14" s="18" t="s">
        <v>4</v>
      </c>
      <c r="G14" s="19"/>
      <c r="H14" s="20" t="str">
        <f aca="false">IF(G14="","",G14+7)</f>
        <v/>
      </c>
      <c r="I14" s="17"/>
      <c r="J14" s="17"/>
      <c r="K14" s="17" t="s">
        <v>593</v>
      </c>
      <c r="L14" s="17" t="s">
        <v>594</v>
      </c>
      <c r="M14" s="17" t="s">
        <v>595</v>
      </c>
      <c r="N14" s="21" t="s">
        <v>596</v>
      </c>
      <c r="O14" s="17" t="s">
        <v>66</v>
      </c>
      <c r="P14" s="17"/>
    </row>
    <row r="15" customFormat="false" ht="23.85" hidden="false" customHeight="false" outlineLevel="0" collapsed="false">
      <c r="A15" s="16" t="s">
        <v>597</v>
      </c>
      <c r="B15" s="17" t="s">
        <v>598</v>
      </c>
      <c r="C15" s="17"/>
      <c r="D15" s="17"/>
      <c r="E15" s="17" t="s">
        <v>59</v>
      </c>
      <c r="F15" s="18" t="s">
        <v>4</v>
      </c>
      <c r="G15" s="19"/>
      <c r="H15" s="20" t="str">
        <f aca="false">IF(G15="","",G15+7)</f>
        <v/>
      </c>
      <c r="I15" s="17"/>
      <c r="J15" s="17"/>
      <c r="K15" s="17" t="s">
        <v>599</v>
      </c>
      <c r="L15" s="17" t="s">
        <v>600</v>
      </c>
      <c r="M15" s="17" t="s">
        <v>601</v>
      </c>
      <c r="N15" s="21" t="s">
        <v>602</v>
      </c>
      <c r="O15" s="17"/>
      <c r="P15" s="17" t="s">
        <v>603</v>
      </c>
    </row>
    <row r="16" customFormat="false" ht="23.85" hidden="false" customHeight="false" outlineLevel="0" collapsed="false">
      <c r="A16" s="16" t="s">
        <v>604</v>
      </c>
      <c r="B16" s="17" t="s">
        <v>598</v>
      </c>
      <c r="C16" s="17"/>
      <c r="D16" s="17"/>
      <c r="E16" s="17" t="s">
        <v>59</v>
      </c>
      <c r="F16" s="18" t="s">
        <v>4</v>
      </c>
      <c r="G16" s="19"/>
      <c r="H16" s="20" t="str">
        <f aca="false">IF(G16="","",G16+7)</f>
        <v/>
      </c>
      <c r="I16" s="17"/>
      <c r="J16" s="17"/>
      <c r="K16" s="17" t="s">
        <v>605</v>
      </c>
      <c r="L16" s="17" t="s">
        <v>606</v>
      </c>
      <c r="M16" s="17" t="s">
        <v>607</v>
      </c>
      <c r="N16" s="21" t="s">
        <v>608</v>
      </c>
      <c r="O16" s="17"/>
      <c r="P16" s="17"/>
    </row>
    <row r="17" customFormat="false" ht="23.85" hidden="false" customHeight="false" outlineLevel="0" collapsed="false">
      <c r="A17" s="16" t="s">
        <v>609</v>
      </c>
      <c r="B17" s="17" t="s">
        <v>598</v>
      </c>
      <c r="C17" s="17"/>
      <c r="D17" s="17"/>
      <c r="E17" s="17" t="s">
        <v>59</v>
      </c>
      <c r="F17" s="18" t="s">
        <v>4</v>
      </c>
      <c r="G17" s="19"/>
      <c r="H17" s="20" t="str">
        <f aca="false">IF(G17="","",G17+7)</f>
        <v/>
      </c>
      <c r="I17" s="17"/>
      <c r="J17" s="17"/>
      <c r="K17" s="17" t="s">
        <v>610</v>
      </c>
      <c r="L17" s="17" t="s">
        <v>611</v>
      </c>
      <c r="M17" s="17" t="s">
        <v>612</v>
      </c>
      <c r="N17" s="21" t="s">
        <v>613</v>
      </c>
      <c r="O17" s="17"/>
      <c r="P17" s="17"/>
    </row>
    <row r="18" customFormat="false" ht="23.85" hidden="false" customHeight="false" outlineLevel="0" collapsed="false">
      <c r="A18" s="16" t="s">
        <v>614</v>
      </c>
      <c r="B18" s="17" t="s">
        <v>598</v>
      </c>
      <c r="C18" s="17"/>
      <c r="D18" s="17"/>
      <c r="E18" s="17" t="s">
        <v>59</v>
      </c>
      <c r="F18" s="18" t="s">
        <v>4</v>
      </c>
      <c r="G18" s="19"/>
      <c r="H18" s="20" t="str">
        <f aca="false">IF(G18="","",G18+7)</f>
        <v/>
      </c>
      <c r="I18" s="17"/>
      <c r="J18" s="17"/>
      <c r="K18" s="17" t="s">
        <v>615</v>
      </c>
      <c r="L18" s="17" t="s">
        <v>616</v>
      </c>
      <c r="M18" s="17" t="s">
        <v>617</v>
      </c>
      <c r="N18" s="17"/>
      <c r="O18" s="17" t="s">
        <v>66</v>
      </c>
      <c r="P18" s="17" t="s">
        <v>618</v>
      </c>
    </row>
    <row r="19" customFormat="false" ht="23.85" hidden="false" customHeight="false" outlineLevel="0" collapsed="false">
      <c r="A19" s="16" t="s">
        <v>619</v>
      </c>
      <c r="B19" s="17" t="s">
        <v>598</v>
      </c>
      <c r="C19" s="17"/>
      <c r="D19" s="17"/>
      <c r="E19" s="17" t="s">
        <v>130</v>
      </c>
      <c r="F19" s="18" t="s">
        <v>4</v>
      </c>
      <c r="G19" s="19"/>
      <c r="H19" s="20" t="str">
        <f aca="false">IF(G19="","",G19+7)</f>
        <v/>
      </c>
      <c r="I19" s="17"/>
      <c r="J19" s="17"/>
      <c r="K19" s="17" t="s">
        <v>620</v>
      </c>
      <c r="L19" s="17" t="s">
        <v>621</v>
      </c>
      <c r="M19" s="17" t="s">
        <v>622</v>
      </c>
      <c r="N19" s="21" t="s">
        <v>623</v>
      </c>
      <c r="O19" s="17"/>
      <c r="P19" s="17"/>
    </row>
    <row r="20" customFormat="false" ht="23.85" hidden="false" customHeight="false" outlineLevel="0" collapsed="false">
      <c r="A20" s="16" t="s">
        <v>624</v>
      </c>
      <c r="B20" s="17" t="s">
        <v>598</v>
      </c>
      <c r="C20" s="17"/>
      <c r="D20" s="17"/>
      <c r="E20" s="17" t="s">
        <v>130</v>
      </c>
      <c r="F20" s="18" t="s">
        <v>4</v>
      </c>
      <c r="G20" s="19"/>
      <c r="H20" s="20" t="str">
        <f aca="false">IF(G20="","",G20+7)</f>
        <v/>
      </c>
      <c r="I20" s="17"/>
      <c r="J20" s="17"/>
      <c r="K20" s="17" t="s">
        <v>625</v>
      </c>
      <c r="L20" s="17" t="s">
        <v>600</v>
      </c>
      <c r="M20" s="17" t="s">
        <v>626</v>
      </c>
      <c r="N20" s="21" t="s">
        <v>627</v>
      </c>
      <c r="O20" s="17" t="s">
        <v>66</v>
      </c>
      <c r="P20" s="17"/>
    </row>
    <row r="21" customFormat="false" ht="23.85" hidden="false" customHeight="false" outlineLevel="0" collapsed="false">
      <c r="A21" s="16" t="s">
        <v>628</v>
      </c>
      <c r="B21" s="17" t="s">
        <v>598</v>
      </c>
      <c r="C21" s="17"/>
      <c r="D21" s="17"/>
      <c r="E21" s="17" t="s">
        <v>130</v>
      </c>
      <c r="F21" s="18" t="s">
        <v>4</v>
      </c>
      <c r="G21" s="19"/>
      <c r="H21" s="20" t="str">
        <f aca="false">IF(G21="","",G21+7)</f>
        <v/>
      </c>
      <c r="I21" s="17"/>
      <c r="J21" s="17"/>
      <c r="K21" s="17" t="s">
        <v>629</v>
      </c>
      <c r="L21" s="17" t="s">
        <v>630</v>
      </c>
      <c r="M21" s="17" t="s">
        <v>631</v>
      </c>
      <c r="N21" s="21" t="s">
        <v>632</v>
      </c>
      <c r="O21" s="17" t="s">
        <v>66</v>
      </c>
      <c r="P21" s="17"/>
    </row>
    <row r="22" customFormat="false" ht="23.85" hidden="false" customHeight="false" outlineLevel="0" collapsed="false">
      <c r="A22" s="16" t="s">
        <v>633</v>
      </c>
      <c r="B22" s="17" t="s">
        <v>598</v>
      </c>
      <c r="C22" s="17"/>
      <c r="D22" s="17"/>
      <c r="E22" s="17" t="s">
        <v>130</v>
      </c>
      <c r="F22" s="18" t="s">
        <v>4</v>
      </c>
      <c r="G22" s="19"/>
      <c r="H22" s="20" t="str">
        <f aca="false">IF(G22="","",G22+7)</f>
        <v/>
      </c>
      <c r="I22" s="17"/>
      <c r="J22" s="17"/>
      <c r="K22" s="17" t="s">
        <v>634</v>
      </c>
      <c r="L22" s="17" t="s">
        <v>635</v>
      </c>
      <c r="M22" s="17" t="s">
        <v>636</v>
      </c>
      <c r="N22" s="21" t="s">
        <v>637</v>
      </c>
      <c r="O22" s="17"/>
      <c r="P22" s="17"/>
    </row>
    <row r="23" customFormat="false" ht="23.85" hidden="false" customHeight="false" outlineLevel="0" collapsed="false">
      <c r="A23" s="16" t="s">
        <v>638</v>
      </c>
      <c r="B23" s="17" t="s">
        <v>598</v>
      </c>
      <c r="C23" s="17"/>
      <c r="D23" s="17"/>
      <c r="E23" s="17" t="s">
        <v>130</v>
      </c>
      <c r="F23" s="18" t="s">
        <v>4</v>
      </c>
      <c r="G23" s="19"/>
      <c r="H23" s="20" t="str">
        <f aca="false">IF(G23="","",G23+7)</f>
        <v/>
      </c>
      <c r="I23" s="17"/>
      <c r="J23" s="17"/>
      <c r="K23" s="17" t="s">
        <v>639</v>
      </c>
      <c r="L23" s="17" t="s">
        <v>640</v>
      </c>
      <c r="M23" s="17" t="s">
        <v>641</v>
      </c>
      <c r="N23" s="21" t="s">
        <v>642</v>
      </c>
      <c r="O23" s="17" t="s">
        <v>66</v>
      </c>
      <c r="P23" s="17"/>
    </row>
    <row r="24" customFormat="false" ht="15" hidden="false" customHeight="false" outlineLevel="0" collapsed="false">
      <c r="G24" s="22"/>
      <c r="H24" s="23" t="str">
        <f aca="false">IF(G24="","",G24+7)</f>
        <v/>
      </c>
    </row>
    <row r="25" customFormat="false" ht="15" hidden="false" customHeight="false" outlineLevel="0" collapsed="false">
      <c r="G25" s="22"/>
      <c r="H25" s="23" t="str">
        <f aca="false">IF(G25="","",G25+7)</f>
        <v/>
      </c>
    </row>
    <row r="26" customFormat="false" ht="15" hidden="false" customHeight="false" outlineLevel="0" collapsed="false">
      <c r="G26" s="22"/>
      <c r="H26" s="23" t="str">
        <f aca="false">IF(G26="","",G26+7)</f>
        <v/>
      </c>
    </row>
    <row r="27" customFormat="false" ht="15" hidden="false" customHeight="false" outlineLevel="0" collapsed="false">
      <c r="G27" s="22"/>
      <c r="H27" s="23" t="str">
        <f aca="false">IF(G27="","",G27+7)</f>
        <v/>
      </c>
    </row>
    <row r="28" customFormat="false" ht="15" hidden="false" customHeight="false" outlineLevel="0" collapsed="false">
      <c r="G28" s="22"/>
      <c r="H28" s="23" t="str">
        <f aca="false">IF(G28="","",G28+7)</f>
        <v/>
      </c>
    </row>
    <row r="29" customFormat="false" ht="15" hidden="false" customHeight="false" outlineLevel="0" collapsed="false">
      <c r="G29" s="22"/>
      <c r="H29" s="23" t="str">
        <f aca="false">IF(G29="","",G29+7)</f>
        <v/>
      </c>
    </row>
    <row r="30" customFormat="false" ht="15" hidden="false" customHeight="false" outlineLevel="0" collapsed="false">
      <c r="G30" s="22"/>
      <c r="H30" s="23" t="str">
        <f aca="false">IF(G30="","",G30+7)</f>
        <v/>
      </c>
    </row>
    <row r="31" customFormat="false" ht="15" hidden="false" customHeight="false" outlineLevel="0" collapsed="false">
      <c r="G31" s="22"/>
      <c r="H31" s="23" t="str">
        <f aca="false">IF(G31="","",G31+7)</f>
        <v/>
      </c>
    </row>
    <row r="32" customFormat="false" ht="15" hidden="false" customHeight="false" outlineLevel="0" collapsed="false">
      <c r="G32" s="22"/>
      <c r="H32" s="23" t="str">
        <f aca="false">IF(G32="","",G32+7)</f>
        <v/>
      </c>
    </row>
    <row r="33" customFormat="false" ht="15" hidden="false" customHeight="false" outlineLevel="0" collapsed="false">
      <c r="G33" s="22"/>
      <c r="H33" s="23" t="str">
        <f aca="false">IF(G33="","",G33+7)</f>
        <v/>
      </c>
    </row>
    <row r="34" customFormat="false" ht="15" hidden="false" customHeight="false" outlineLevel="0" collapsed="false">
      <c r="G34" s="22"/>
      <c r="H34" s="23" t="str">
        <f aca="false">IF(G34="","",G34+7)</f>
        <v/>
      </c>
    </row>
    <row r="35" customFormat="false" ht="15" hidden="false" customHeight="false" outlineLevel="0" collapsed="false">
      <c r="G35" s="22"/>
      <c r="H35" s="23" t="str">
        <f aca="false">IF(G35="","",G35+7)</f>
        <v/>
      </c>
    </row>
    <row r="36" customFormat="false" ht="15" hidden="false" customHeight="false" outlineLevel="0" collapsed="false">
      <c r="G36" s="22"/>
      <c r="H36" s="23" t="str">
        <f aca="false">IF(G36="","",G36+7)</f>
        <v/>
      </c>
    </row>
    <row r="37" customFormat="false" ht="15" hidden="false" customHeight="false" outlineLevel="0" collapsed="false">
      <c r="G37" s="22"/>
      <c r="H37" s="23" t="str">
        <f aca="false">IF(G37="","",G37+7)</f>
        <v/>
      </c>
    </row>
    <row r="38" customFormat="false" ht="15" hidden="false" customHeight="false" outlineLevel="0" collapsed="false">
      <c r="G38" s="22"/>
      <c r="H38" s="23" t="str">
        <f aca="false">IF(G38="","",G38+7)</f>
        <v/>
      </c>
    </row>
    <row r="39" customFormat="false" ht="15" hidden="false" customHeight="false" outlineLevel="0" collapsed="false">
      <c r="G39" s="22"/>
      <c r="H39" s="23" t="str">
        <f aca="false">IF(G39="","",G39+7)</f>
        <v/>
      </c>
    </row>
    <row r="40" customFormat="false" ht="15" hidden="false" customHeight="false" outlineLevel="0" collapsed="false">
      <c r="G40" s="22"/>
      <c r="H40" s="23" t="str">
        <f aca="false">IF(G40="","",G40+7)</f>
        <v/>
      </c>
    </row>
    <row r="41" customFormat="false" ht="15" hidden="false" customHeight="false" outlineLevel="0" collapsed="false">
      <c r="G41" s="22"/>
      <c r="H41" s="23" t="str">
        <f aca="false">IF(G41="","",G41+7)</f>
        <v/>
      </c>
    </row>
    <row r="42" customFormat="false" ht="15" hidden="false" customHeight="false" outlineLevel="0" collapsed="false">
      <c r="G42" s="22"/>
      <c r="H42" s="23" t="str">
        <f aca="false">IF(G42="","",G42+7)</f>
        <v/>
      </c>
    </row>
    <row r="43" customFormat="false" ht="15" hidden="false" customHeight="false" outlineLevel="0" collapsed="false">
      <c r="G43" s="22"/>
      <c r="H43" s="23" t="str">
        <f aca="false">IF(G43="","",G43+7)</f>
        <v/>
      </c>
    </row>
    <row r="44" customFormat="false" ht="15" hidden="false" customHeight="false" outlineLevel="0" collapsed="false">
      <c r="G44" s="22"/>
      <c r="H44" s="23" t="str">
        <f aca="false">IF(G44="","",G44+7)</f>
        <v/>
      </c>
    </row>
    <row r="45" customFormat="false" ht="15" hidden="false" customHeight="false" outlineLevel="0" collapsed="false">
      <c r="G45" s="22"/>
      <c r="H45" s="23" t="str">
        <f aca="false">IF(G45="","",G45+7)</f>
        <v/>
      </c>
    </row>
    <row r="46" customFormat="false" ht="15" hidden="false" customHeight="false" outlineLevel="0" collapsed="false">
      <c r="G46" s="22"/>
      <c r="H46" s="23" t="str">
        <f aca="false">IF(G46="","",G46+7)</f>
        <v/>
      </c>
    </row>
    <row r="47" customFormat="false" ht="15" hidden="false" customHeight="false" outlineLevel="0" collapsed="false">
      <c r="G47" s="22"/>
      <c r="H47" s="23" t="str">
        <f aca="false">IF(G47="","",G47+7)</f>
        <v/>
      </c>
    </row>
    <row r="48" customFormat="false" ht="15" hidden="false" customHeight="false" outlineLevel="0" collapsed="false">
      <c r="G48" s="22"/>
      <c r="H48" s="23" t="str">
        <f aca="false">IF(G48="","",G48+7)</f>
        <v/>
      </c>
    </row>
    <row r="49" customFormat="false" ht="15" hidden="false" customHeight="false" outlineLevel="0" collapsed="false">
      <c r="G49" s="22"/>
      <c r="H49" s="23" t="str">
        <f aca="false">IF(G49="","",G49+7)</f>
        <v/>
      </c>
    </row>
    <row r="50" customFormat="false" ht="15" hidden="false" customHeight="false" outlineLevel="0" collapsed="false">
      <c r="G50" s="22"/>
      <c r="H50" s="23" t="str">
        <f aca="false">IF(G50="","",G50+7)</f>
        <v/>
      </c>
    </row>
    <row r="51" customFormat="false" ht="15" hidden="false" customHeight="false" outlineLevel="0" collapsed="false">
      <c r="G51" s="22"/>
      <c r="H51" s="23" t="str">
        <f aca="false">IF(G51="","",G51+7)</f>
        <v/>
      </c>
    </row>
    <row r="52" customFormat="false" ht="15" hidden="false" customHeight="false" outlineLevel="0" collapsed="false">
      <c r="G52" s="22"/>
      <c r="H52" s="23" t="str">
        <f aca="false">IF(G52="","",G52+7)</f>
        <v/>
      </c>
    </row>
    <row r="53" customFormat="false" ht="15" hidden="false" customHeight="false" outlineLevel="0" collapsed="false">
      <c r="G53" s="22"/>
      <c r="H53" s="23" t="str">
        <f aca="false">IF(G53="","",G53+7)</f>
        <v/>
      </c>
    </row>
    <row r="54" customFormat="false" ht="15" hidden="false" customHeight="false" outlineLevel="0" collapsed="false">
      <c r="G54" s="22"/>
      <c r="H54" s="23" t="str">
        <f aca="false">IF(G54="","",G54+7)</f>
        <v/>
      </c>
    </row>
    <row r="55" customFormat="false" ht="15" hidden="false" customHeight="false" outlineLevel="0" collapsed="false">
      <c r="G55" s="22"/>
      <c r="H55" s="23" t="str">
        <f aca="false">IF(G55="","",G55+7)</f>
        <v/>
      </c>
    </row>
    <row r="56" customFormat="false" ht="15" hidden="false" customHeight="false" outlineLevel="0" collapsed="false">
      <c r="G56" s="22"/>
      <c r="H56" s="23" t="str">
        <f aca="false">IF(G56="","",G56+7)</f>
        <v/>
      </c>
    </row>
    <row r="57" customFormat="false" ht="15" hidden="false" customHeight="false" outlineLevel="0" collapsed="false">
      <c r="G57" s="22"/>
      <c r="H57" s="23" t="str">
        <f aca="false">IF(G57="","",G57+7)</f>
        <v/>
      </c>
    </row>
    <row r="58" customFormat="false" ht="15" hidden="false" customHeight="false" outlineLevel="0" collapsed="false">
      <c r="G58" s="22"/>
      <c r="H58" s="23" t="str">
        <f aca="false">IF(G58="","",G58+7)</f>
        <v/>
      </c>
    </row>
    <row r="59" customFormat="false" ht="15" hidden="false" customHeight="false" outlineLevel="0" collapsed="false">
      <c r="G59" s="22"/>
      <c r="H59" s="23" t="str">
        <f aca="false">IF(G59="","",G59+7)</f>
        <v/>
      </c>
    </row>
    <row r="60" customFormat="false" ht="15" hidden="false" customHeight="false" outlineLevel="0" collapsed="false">
      <c r="G60" s="22"/>
      <c r="H60" s="23" t="str">
        <f aca="false">IF(G60="","",G60+7)</f>
        <v/>
      </c>
    </row>
    <row r="61" customFormat="false" ht="15" hidden="false" customHeight="false" outlineLevel="0" collapsed="false">
      <c r="G61" s="22"/>
      <c r="H61" s="23" t="str">
        <f aca="false">IF(G61="","",G61+7)</f>
        <v/>
      </c>
    </row>
    <row r="62" customFormat="false" ht="15" hidden="false" customHeight="false" outlineLevel="0" collapsed="false">
      <c r="G62" s="22"/>
      <c r="H62" s="23" t="str">
        <f aca="false">IF(G62="","",G62+7)</f>
        <v/>
      </c>
    </row>
    <row r="63" customFormat="false" ht="15" hidden="false" customHeight="false" outlineLevel="0" collapsed="false">
      <c r="G63" s="22"/>
      <c r="H63" s="23" t="str">
        <f aca="false">IF(G63="","",G63+7)</f>
        <v/>
      </c>
    </row>
  </sheetData>
  <autoFilter ref="A4:P23"/>
  <conditionalFormatting sqref="A5:P63">
    <cfRule type="expression" priority="2" aboveAverage="0" equalAverage="0" bottom="0" percent="0" rank="0" text="" dxfId="7">
      <formula>$F5="Pitched"</formula>
    </cfRule>
    <cfRule type="expression" priority="3" aboveAverage="0" equalAverage="0" bottom="0" percent="0" rank="0" text="" dxfId="7">
      <formula>$F5="Followed up"</formula>
    </cfRule>
    <cfRule type="expression" priority="4" aboveAverage="0" equalAverage="0" bottom="0" percent="0" rank="0" text="" dxfId="8">
      <formula>$F5="Replied"</formula>
    </cfRule>
    <cfRule type="expression" priority="5" aboveAverage="0" equalAverage="0" bottom="0" percent="0" rank="0" text="" dxfId="9">
      <formula>$F5="Booked"</formula>
    </cfRule>
    <cfRule type="expression" priority="6" aboveAverage="0" equalAverage="0" bottom="0" percent="0" rank="0" text="" dxfId="10">
      <formula>$F5="Declined"</formula>
    </cfRule>
  </conditionalFormatting>
  <conditionalFormatting sqref="E5:E63">
    <cfRule type="expression" priority="7" aboveAverage="0" equalAverage="0" bottom="0" percent="0" rank="0" text="" dxfId="11">
      <formula>$E5="High"</formula>
    </cfRule>
  </conditionalFormatting>
  <conditionalFormatting sqref="H5:H63">
    <cfRule type="expression" priority="8" aboveAverage="0" equalAverage="0" bottom="0" percent="0" rank="0" text="" dxfId="12">
      <formula>AND($H5&lt;&gt;"",$H5&lt;=TODAY(),$F5&lt;&gt;"Replied",$F5&lt;&gt;"Booked",$F5&lt;&gt;"Declined")</formula>
    </cfRule>
  </conditionalFormatting>
  <dataValidations count="2">
    <dataValidation allowBlank="true" errorStyle="stop" operator="between" showDropDown="false" showErrorMessage="false" showInputMessage="false" sqref="F5:F63" type="list">
      <formula1>"To pitch,Pitched,Followed up,Replied,Booked,Declined"</formula1>
      <formula2>0</formula2>
    </dataValidation>
    <dataValidation allowBlank="true" errorStyle="stop" operator="between" showDropDown="false" showErrorMessage="false" showInputMessage="false" sqref="E5:E63" type="list">
      <formula1>"High,Medium,Low"</formula1>
      <formula2>0</formula2>
    </dataValidation>
  </dataValidations>
  <hyperlinks>
    <hyperlink ref="J5" r:id="rId1" display="https://www.lyst.com/about/press/"/>
    <hyperlink ref="N5" r:id="rId2" display="https://www.lyst.com/the-lyst-index/"/>
    <hyperlink ref="J6" r:id="rId3" display="https://newsroom.pinterest.com/en-gb/contact/"/>
    <hyperlink ref="N6" r:id="rId4" display="https://newsroom.pinterest.com/nl/contact/"/>
    <hyperlink ref="J7" r:id="rId5" display="https://trendalytics.co/news"/>
    <hyperlink ref="N7" r:id="rId6" display="https://trendalytics.co/about"/>
    <hyperlink ref="J8" r:id="rId7" display="https://www.wgsn.com/en/wgsn/newsroom"/>
    <hyperlink ref="N8" r:id="rId8" display="https://www.wgsn.com/en/press/"/>
    <hyperlink ref="J9" r:id="rId9" display="https://edited.com/contact-us/"/>
    <hyperlink ref="N9" r:id="rId10" display="https://edited.com"/>
    <hyperlink ref="J10" r:id="rId11" display="https://heuritech.com/press/"/>
    <hyperlink ref="N10" r:id="rId12" display="https://heuritech.com/press/"/>
    <hyperlink ref="J11" r:id="rId13" display="https://www.launchmetrics.com/newsroom/launchmetrics-10-years"/>
    <hyperlink ref="N11" r:id="rId14" display="https://launchmetrics.com/media-impact-value-usage"/>
    <hyperlink ref="N12" r:id="rId15" display="https://spate.nyc"/>
    <hyperlink ref="J13" r:id="rId16" display="https://www.tag-walk.com/en/page/contact"/>
    <hyperlink ref="N13" r:id="rId17" display="https://www.tag-walk.com/en/brand-visibility"/>
    <hyperlink ref="N14" r:id="rId18" display="https://news.depop.com"/>
    <hyperlink ref="N15" r:id="rId19" display="https://pages.businessoffashion.com/voices-2026/"/>
    <hyperlink ref="N16" r:id="rId20" display="https://londonfashionweek.co.uk/trade"/>
    <hyperlink ref="N17" r:id="rId21" display="https://www.retail-week.com/events"/>
    <hyperlink ref="N19" r:id="rId22" display="https://sessionize.com/data-science-london-meetup/"/>
    <hyperlink ref="N20" r:id="rId23" display="https://mapp.com/cmp/fashion-decoded-2026-replay-hub/"/>
    <hyperlink ref="N21" r:id="rId24" display="https://www.arts.ac.uk/colleges/london-college-of-fashion/stories/fashion-business-school-industry-day"/>
    <hyperlink ref="N22" r:id="rId25" display="https://pretalx.com/pydata-london-2026/cfp"/>
    <hyperlink ref="N23" r:id="rId26" display="https://womenindata.co.u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2"/>
    <col collapsed="false" customWidth="true" hidden="false" outlineLevel="0" max="4" min="4" style="0" width="34"/>
    <col collapsed="false" customWidth="true" hidden="false" outlineLevel="0" max="6" min="5" style="0" width="13"/>
    <col collapsed="false" customWidth="true" hidden="false" outlineLevel="0" max="8" min="7" style="0" width="12"/>
    <col collapsed="false" customWidth="true" hidden="false" outlineLevel="0" max="9" min="9" style="0" width="11"/>
    <col collapsed="false" customWidth="true" hidden="false" outlineLevel="0" max="10" min="10" style="0" width="34"/>
    <col collapsed="false" customWidth="true" hidden="false" outlineLevel="0" max="11" min="11" style="0" width="48"/>
    <col collapsed="false" customWidth="true" hidden="false" outlineLevel="0" max="12" min="12" style="0" width="28"/>
    <col collapsed="false" customWidth="true" hidden="false" outlineLevel="0" max="13" min="13" style="0" width="34"/>
    <col collapsed="false" customWidth="true" hidden="false" outlineLevel="0" max="14" min="14" style="0" width="40"/>
  </cols>
  <sheetData>
    <row r="1" customFormat="false" ht="27.75" hidden="false" customHeight="true" outlineLevel="0" collapsed="false">
      <c r="A1" s="1" t="s">
        <v>15</v>
      </c>
    </row>
    <row r="2" customFormat="false" ht="15" hidden="false" customHeight="false" outlineLevel="0" collapsed="false">
      <c r="A2" s="2" t="s">
        <v>643</v>
      </c>
    </row>
    <row r="3" customFormat="false" ht="3.75" hidden="false" customHeight="true" outlineLevel="0" collapsed="false">
      <c r="A3" s="3"/>
      <c r="B3" s="3"/>
      <c r="C3" s="3"/>
      <c r="D3" s="3"/>
      <c r="E3" s="3"/>
      <c r="F3" s="3"/>
      <c r="G3" s="3"/>
      <c r="H3" s="3"/>
      <c r="I3" s="3"/>
      <c r="J3" s="3"/>
      <c r="K3" s="3"/>
      <c r="L3" s="3"/>
      <c r="M3" s="3"/>
      <c r="N3" s="3"/>
    </row>
    <row r="4" customFormat="false" ht="30" hidden="false" customHeight="true" outlineLevel="0" collapsed="false">
      <c r="A4" s="15" t="s">
        <v>644</v>
      </c>
      <c r="B4" s="15" t="s">
        <v>645</v>
      </c>
      <c r="C4" s="15" t="s">
        <v>646</v>
      </c>
      <c r="D4" s="15" t="s">
        <v>647</v>
      </c>
      <c r="E4" s="15" t="s">
        <v>41</v>
      </c>
      <c r="F4" s="15" t="s">
        <v>648</v>
      </c>
      <c r="G4" s="15" t="s">
        <v>16</v>
      </c>
      <c r="H4" s="15" t="s">
        <v>649</v>
      </c>
      <c r="I4" s="15" t="s">
        <v>650</v>
      </c>
      <c r="J4" s="15" t="s">
        <v>651</v>
      </c>
      <c r="K4" s="15" t="s">
        <v>652</v>
      </c>
      <c r="L4" s="15" t="s">
        <v>47</v>
      </c>
      <c r="M4" s="15" t="s">
        <v>52</v>
      </c>
      <c r="N4" s="15" t="s">
        <v>54</v>
      </c>
    </row>
    <row r="5" customFormat="false" ht="23.85" hidden="false" customHeight="false" outlineLevel="0" collapsed="false">
      <c r="A5" s="17" t="s">
        <v>653</v>
      </c>
      <c r="B5" s="20" t="n">
        <v>46322</v>
      </c>
      <c r="C5" s="20"/>
      <c r="D5" s="16" t="s">
        <v>654</v>
      </c>
      <c r="E5" s="17" t="s">
        <v>655</v>
      </c>
      <c r="F5" s="17" t="s">
        <v>656</v>
      </c>
      <c r="G5" s="18" t="s">
        <v>17</v>
      </c>
      <c r="H5" s="20"/>
      <c r="I5" s="17" t="s">
        <v>657</v>
      </c>
      <c r="J5" s="17"/>
      <c r="K5" s="17" t="s">
        <v>658</v>
      </c>
      <c r="L5" s="17"/>
      <c r="M5" s="21" t="s">
        <v>659</v>
      </c>
      <c r="N5" s="17" t="s">
        <v>660</v>
      </c>
    </row>
    <row r="6" customFormat="false" ht="23.85" hidden="false" customHeight="false" outlineLevel="0" collapsed="false">
      <c r="A6" s="17" t="s">
        <v>661</v>
      </c>
      <c r="B6" s="20"/>
      <c r="C6" s="20"/>
      <c r="D6" s="16" t="s">
        <v>662</v>
      </c>
      <c r="E6" s="17" t="s">
        <v>655</v>
      </c>
      <c r="F6" s="17" t="s">
        <v>663</v>
      </c>
      <c r="G6" s="18" t="s">
        <v>17</v>
      </c>
      <c r="H6" s="20"/>
      <c r="I6" s="17" t="s">
        <v>664</v>
      </c>
      <c r="J6" s="17" t="s">
        <v>665</v>
      </c>
      <c r="K6" s="17" t="s">
        <v>666</v>
      </c>
      <c r="L6" s="17"/>
      <c r="M6" s="21" t="s">
        <v>667</v>
      </c>
      <c r="N6" s="17"/>
    </row>
    <row r="7" customFormat="false" ht="23.85" hidden="false" customHeight="false" outlineLevel="0" collapsed="false">
      <c r="A7" s="17" t="s">
        <v>661</v>
      </c>
      <c r="B7" s="20"/>
      <c r="C7" s="20"/>
      <c r="D7" s="16" t="s">
        <v>668</v>
      </c>
      <c r="E7" s="17" t="s">
        <v>655</v>
      </c>
      <c r="F7" s="17" t="s">
        <v>663</v>
      </c>
      <c r="G7" s="18" t="s">
        <v>17</v>
      </c>
      <c r="H7" s="20"/>
      <c r="I7" s="17" t="s">
        <v>664</v>
      </c>
      <c r="J7" s="17" t="s">
        <v>669</v>
      </c>
      <c r="K7" s="17" t="s">
        <v>670</v>
      </c>
      <c r="L7" s="17"/>
      <c r="M7" s="21" t="s">
        <v>671</v>
      </c>
      <c r="N7" s="17"/>
    </row>
    <row r="8" customFormat="false" ht="23.85" hidden="false" customHeight="false" outlineLevel="0" collapsed="false">
      <c r="A8" s="17" t="s">
        <v>661</v>
      </c>
      <c r="B8" s="20"/>
      <c r="C8" s="20"/>
      <c r="D8" s="16" t="s">
        <v>672</v>
      </c>
      <c r="E8" s="17" t="s">
        <v>655</v>
      </c>
      <c r="F8" s="17" t="s">
        <v>673</v>
      </c>
      <c r="G8" s="18" t="s">
        <v>17</v>
      </c>
      <c r="H8" s="20"/>
      <c r="I8" s="17" t="s">
        <v>664</v>
      </c>
      <c r="J8" s="17" t="s">
        <v>674</v>
      </c>
      <c r="K8" s="17" t="s">
        <v>675</v>
      </c>
      <c r="L8" s="17"/>
      <c r="M8" s="21" t="s">
        <v>676</v>
      </c>
      <c r="N8" s="17"/>
    </row>
    <row r="9" customFormat="false" ht="23.85" hidden="false" customHeight="false" outlineLevel="0" collapsed="false">
      <c r="A9" s="17" t="s">
        <v>661</v>
      </c>
      <c r="B9" s="20" t="n">
        <v>46328</v>
      </c>
      <c r="C9" s="20"/>
      <c r="D9" s="16" t="s">
        <v>677</v>
      </c>
      <c r="E9" s="17" t="s">
        <v>655</v>
      </c>
      <c r="F9" s="17" t="s">
        <v>656</v>
      </c>
      <c r="G9" s="18" t="s">
        <v>17</v>
      </c>
      <c r="H9" s="20"/>
      <c r="I9" s="17" t="s">
        <v>657</v>
      </c>
      <c r="J9" s="17"/>
      <c r="K9" s="17" t="s">
        <v>678</v>
      </c>
      <c r="L9" s="17"/>
      <c r="M9" s="21" t="s">
        <v>679</v>
      </c>
      <c r="N9" s="17" t="s">
        <v>680</v>
      </c>
    </row>
    <row r="10" customFormat="false" ht="15" hidden="false" customHeight="false" outlineLevel="0" collapsed="false">
      <c r="A10" s="17" t="s">
        <v>661</v>
      </c>
      <c r="B10" s="20" t="n">
        <v>46335</v>
      </c>
      <c r="C10" s="20" t="n">
        <v>46338</v>
      </c>
      <c r="D10" s="16" t="s">
        <v>681</v>
      </c>
      <c r="E10" s="17" t="s">
        <v>682</v>
      </c>
      <c r="F10" s="17" t="s">
        <v>683</v>
      </c>
      <c r="G10" s="18" t="s">
        <v>17</v>
      </c>
      <c r="H10" s="20"/>
      <c r="I10" s="17" t="s">
        <v>657</v>
      </c>
      <c r="J10" s="17"/>
      <c r="K10" s="17" t="s">
        <v>684</v>
      </c>
      <c r="L10" s="17"/>
      <c r="M10" s="21" t="s">
        <v>685</v>
      </c>
      <c r="N10" s="17"/>
    </row>
    <row r="11" customFormat="false" ht="15" hidden="false" customHeight="false" outlineLevel="0" collapsed="false">
      <c r="A11" s="17" t="s">
        <v>661</v>
      </c>
      <c r="B11" s="20" t="n">
        <v>46337</v>
      </c>
      <c r="C11" s="20"/>
      <c r="D11" s="16" t="s">
        <v>686</v>
      </c>
      <c r="E11" s="17" t="s">
        <v>655</v>
      </c>
      <c r="F11" s="17" t="s">
        <v>663</v>
      </c>
      <c r="G11" s="18" t="s">
        <v>17</v>
      </c>
      <c r="H11" s="20"/>
      <c r="I11" s="17" t="s">
        <v>657</v>
      </c>
      <c r="J11" s="17"/>
      <c r="K11" s="17" t="s">
        <v>687</v>
      </c>
      <c r="L11" s="17"/>
      <c r="M11" s="21" t="s">
        <v>688</v>
      </c>
      <c r="N11" s="17" t="s">
        <v>689</v>
      </c>
    </row>
    <row r="12" customFormat="false" ht="23.85" hidden="false" customHeight="false" outlineLevel="0" collapsed="false">
      <c r="A12" s="17" t="s">
        <v>661</v>
      </c>
      <c r="B12" s="20" t="n">
        <v>46356</v>
      </c>
      <c r="C12" s="20"/>
      <c r="D12" s="16" t="s">
        <v>690</v>
      </c>
      <c r="E12" s="17" t="s">
        <v>655</v>
      </c>
      <c r="F12" s="17" t="s">
        <v>663</v>
      </c>
      <c r="G12" s="18" t="s">
        <v>17</v>
      </c>
      <c r="H12" s="20"/>
      <c r="I12" s="17" t="s">
        <v>657</v>
      </c>
      <c r="J12" s="17"/>
      <c r="K12" s="17" t="s">
        <v>691</v>
      </c>
      <c r="L12" s="17"/>
      <c r="M12" s="21" t="s">
        <v>692</v>
      </c>
      <c r="N12" s="17" t="s">
        <v>693</v>
      </c>
    </row>
    <row r="13" customFormat="false" ht="23.85" hidden="false" customHeight="false" outlineLevel="0" collapsed="false">
      <c r="A13" s="17" t="s">
        <v>694</v>
      </c>
      <c r="B13" s="20"/>
      <c r="C13" s="20"/>
      <c r="D13" s="16" t="s">
        <v>695</v>
      </c>
      <c r="E13" s="17" t="s">
        <v>696</v>
      </c>
      <c r="F13" s="17" t="s">
        <v>697</v>
      </c>
      <c r="G13" s="18" t="s">
        <v>17</v>
      </c>
      <c r="H13" s="20"/>
      <c r="I13" s="17" t="s">
        <v>664</v>
      </c>
      <c r="J13" s="17" t="s">
        <v>698</v>
      </c>
      <c r="K13" s="17" t="s">
        <v>699</v>
      </c>
      <c r="L13" s="17"/>
      <c r="M13" s="21" t="s">
        <v>700</v>
      </c>
      <c r="N13" s="17"/>
    </row>
    <row r="14" customFormat="false" ht="35.05" hidden="false" customHeight="false" outlineLevel="0" collapsed="false">
      <c r="A14" s="17" t="s">
        <v>694</v>
      </c>
      <c r="B14" s="20"/>
      <c r="C14" s="20"/>
      <c r="D14" s="16" t="s">
        <v>701</v>
      </c>
      <c r="E14" s="17" t="s">
        <v>696</v>
      </c>
      <c r="F14" s="17" t="s">
        <v>663</v>
      </c>
      <c r="G14" s="18" t="s">
        <v>17</v>
      </c>
      <c r="H14" s="20"/>
      <c r="I14" s="17" t="s">
        <v>664</v>
      </c>
      <c r="J14" s="17" t="s">
        <v>702</v>
      </c>
      <c r="K14" s="17" t="s">
        <v>703</v>
      </c>
      <c r="L14" s="17"/>
      <c r="M14" s="21" t="s">
        <v>704</v>
      </c>
      <c r="N14" s="17" t="s">
        <v>705</v>
      </c>
    </row>
    <row r="15" customFormat="false" ht="23.85" hidden="false" customHeight="false" outlineLevel="0" collapsed="false">
      <c r="A15" s="17" t="s">
        <v>694</v>
      </c>
      <c r="B15" s="20" t="n">
        <v>46357</v>
      </c>
      <c r="C15" s="20" t="n">
        <v>46360</v>
      </c>
      <c r="D15" s="16" t="s">
        <v>597</v>
      </c>
      <c r="E15" s="17" t="s">
        <v>706</v>
      </c>
      <c r="F15" s="17" t="s">
        <v>707</v>
      </c>
      <c r="G15" s="18" t="s">
        <v>17</v>
      </c>
      <c r="H15" s="20"/>
      <c r="I15" s="17" t="s">
        <v>657</v>
      </c>
      <c r="J15" s="17"/>
      <c r="K15" s="17" t="s">
        <v>708</v>
      </c>
      <c r="L15" s="17"/>
      <c r="M15" s="21" t="s">
        <v>602</v>
      </c>
      <c r="N15" s="17" t="s">
        <v>709</v>
      </c>
    </row>
    <row r="16" customFormat="false" ht="15" hidden="false" customHeight="false" outlineLevel="0" collapsed="false">
      <c r="A16" s="17" t="s">
        <v>710</v>
      </c>
      <c r="B16" s="20" t="n">
        <v>46397</v>
      </c>
      <c r="C16" s="20" t="n">
        <v>46399</v>
      </c>
      <c r="D16" s="16" t="s">
        <v>711</v>
      </c>
      <c r="E16" s="17" t="s">
        <v>706</v>
      </c>
      <c r="F16" s="17" t="s">
        <v>656</v>
      </c>
      <c r="G16" s="18" t="s">
        <v>17</v>
      </c>
      <c r="H16" s="20"/>
      <c r="I16" s="17" t="s">
        <v>657</v>
      </c>
      <c r="J16" s="17"/>
      <c r="K16" s="17" t="s">
        <v>712</v>
      </c>
      <c r="L16" s="17"/>
      <c r="M16" s="21" t="s">
        <v>713</v>
      </c>
      <c r="N16" s="17"/>
    </row>
    <row r="17" customFormat="false" ht="15" hidden="false" customHeight="false" outlineLevel="0" collapsed="false">
      <c r="A17" s="17" t="s">
        <v>710</v>
      </c>
      <c r="B17" s="20" t="n">
        <v>46402</v>
      </c>
      <c r="C17" s="20" t="n">
        <v>46406</v>
      </c>
      <c r="D17" s="16" t="s">
        <v>714</v>
      </c>
      <c r="E17" s="17" t="s">
        <v>696</v>
      </c>
      <c r="F17" s="17" t="s">
        <v>715</v>
      </c>
      <c r="G17" s="18" t="s">
        <v>17</v>
      </c>
      <c r="H17" s="20"/>
      <c r="I17" s="17" t="s">
        <v>657</v>
      </c>
      <c r="J17" s="17"/>
      <c r="K17" s="17" t="s">
        <v>716</v>
      </c>
      <c r="L17" s="17"/>
      <c r="M17" s="21" t="s">
        <v>717</v>
      </c>
      <c r="N17" s="17" t="s">
        <v>718</v>
      </c>
    </row>
    <row r="18" customFormat="false" ht="23.85" hidden="false" customHeight="false" outlineLevel="0" collapsed="false">
      <c r="A18" s="17" t="s">
        <v>710</v>
      </c>
      <c r="B18" s="20" t="n">
        <v>46406</v>
      </c>
      <c r="C18" s="20" t="n">
        <v>46411</v>
      </c>
      <c r="D18" s="16" t="s">
        <v>719</v>
      </c>
      <c r="E18" s="17" t="s">
        <v>696</v>
      </c>
      <c r="F18" s="17" t="s">
        <v>720</v>
      </c>
      <c r="G18" s="18" t="s">
        <v>17</v>
      </c>
      <c r="H18" s="20"/>
      <c r="I18" s="17" t="s">
        <v>657</v>
      </c>
      <c r="J18" s="17"/>
      <c r="K18" s="17" t="s">
        <v>721</v>
      </c>
      <c r="L18" s="17"/>
      <c r="M18" s="21" t="s">
        <v>722</v>
      </c>
      <c r="N18" s="17"/>
    </row>
    <row r="19" customFormat="false" ht="15" hidden="false" customHeight="false" outlineLevel="0" collapsed="false">
      <c r="A19" s="17" t="s">
        <v>710</v>
      </c>
      <c r="B19" s="20" t="n">
        <v>46412</v>
      </c>
      <c r="C19" s="20" t="n">
        <v>46415</v>
      </c>
      <c r="D19" s="16" t="s">
        <v>723</v>
      </c>
      <c r="E19" s="17" t="s">
        <v>696</v>
      </c>
      <c r="F19" s="17" t="s">
        <v>720</v>
      </c>
      <c r="G19" s="18" t="s">
        <v>17</v>
      </c>
      <c r="H19" s="20"/>
      <c r="I19" s="17" t="s">
        <v>657</v>
      </c>
      <c r="J19" s="17"/>
      <c r="K19" s="17" t="s">
        <v>724</v>
      </c>
      <c r="L19" s="17"/>
      <c r="M19" s="21" t="s">
        <v>722</v>
      </c>
      <c r="N19" s="17"/>
    </row>
    <row r="20" customFormat="false" ht="35.05" hidden="false" customHeight="false" outlineLevel="0" collapsed="false">
      <c r="A20" s="17" t="s">
        <v>725</v>
      </c>
      <c r="B20" s="20"/>
      <c r="C20" s="20"/>
      <c r="D20" s="16" t="s">
        <v>726</v>
      </c>
      <c r="E20" s="17" t="s">
        <v>696</v>
      </c>
      <c r="F20" s="17" t="s">
        <v>656</v>
      </c>
      <c r="G20" s="18" t="s">
        <v>17</v>
      </c>
      <c r="H20" s="20"/>
      <c r="I20" s="17" t="s">
        <v>664</v>
      </c>
      <c r="J20" s="17" t="s">
        <v>727</v>
      </c>
      <c r="K20" s="17" t="s">
        <v>728</v>
      </c>
      <c r="L20" s="17"/>
      <c r="M20" s="21" t="s">
        <v>729</v>
      </c>
      <c r="N20" s="17" t="s">
        <v>730</v>
      </c>
    </row>
    <row r="21" customFormat="false" ht="35.05" hidden="false" customHeight="false" outlineLevel="0" collapsed="false">
      <c r="A21" s="17" t="s">
        <v>725</v>
      </c>
      <c r="B21" s="20"/>
      <c r="C21" s="20"/>
      <c r="D21" s="16" t="s">
        <v>731</v>
      </c>
      <c r="E21" s="17" t="s">
        <v>696</v>
      </c>
      <c r="F21" s="17" t="s">
        <v>663</v>
      </c>
      <c r="G21" s="18" t="s">
        <v>17</v>
      </c>
      <c r="H21" s="20"/>
      <c r="I21" s="17" t="s">
        <v>664</v>
      </c>
      <c r="J21" s="17" t="s">
        <v>732</v>
      </c>
      <c r="K21" s="17" t="s">
        <v>733</v>
      </c>
      <c r="L21" s="17"/>
      <c r="M21" s="21" t="s">
        <v>734</v>
      </c>
      <c r="N21" s="17"/>
    </row>
    <row r="22" customFormat="false" ht="23.85" hidden="false" customHeight="false" outlineLevel="0" collapsed="false">
      <c r="A22" s="17" t="s">
        <v>725</v>
      </c>
      <c r="B22" s="20" t="n">
        <v>46419</v>
      </c>
      <c r="C22" s="20" t="n">
        <v>46423</v>
      </c>
      <c r="D22" s="16" t="s">
        <v>735</v>
      </c>
      <c r="E22" s="17" t="s">
        <v>696</v>
      </c>
      <c r="F22" s="17" t="s">
        <v>697</v>
      </c>
      <c r="G22" s="18" t="s">
        <v>17</v>
      </c>
      <c r="H22" s="20"/>
      <c r="I22" s="17" t="s">
        <v>657</v>
      </c>
      <c r="J22" s="17"/>
      <c r="K22" s="17" t="s">
        <v>736</v>
      </c>
      <c r="L22" s="17"/>
      <c r="M22" s="21" t="s">
        <v>737</v>
      </c>
      <c r="N22" s="17" t="s">
        <v>738</v>
      </c>
    </row>
    <row r="23" customFormat="false" ht="15" hidden="false" customHeight="false" outlineLevel="0" collapsed="false">
      <c r="A23" s="17" t="s">
        <v>725</v>
      </c>
      <c r="B23" s="20" t="n">
        <v>46441</v>
      </c>
      <c r="C23" s="20" t="n">
        <v>46447</v>
      </c>
      <c r="D23" s="16" t="s">
        <v>739</v>
      </c>
      <c r="E23" s="17" t="s">
        <v>696</v>
      </c>
      <c r="F23" s="17" t="s">
        <v>715</v>
      </c>
      <c r="G23" s="18" t="s">
        <v>17</v>
      </c>
      <c r="H23" s="20"/>
      <c r="I23" s="17" t="s">
        <v>657</v>
      </c>
      <c r="J23" s="17"/>
      <c r="K23" s="17" t="s">
        <v>716</v>
      </c>
      <c r="L23" s="17"/>
      <c r="M23" s="21" t="s">
        <v>740</v>
      </c>
      <c r="N23" s="17"/>
    </row>
    <row r="24" customFormat="false" ht="15" hidden="false" customHeight="false" outlineLevel="0" collapsed="false">
      <c r="A24" s="17" t="s">
        <v>725</v>
      </c>
      <c r="B24" s="20" t="n">
        <v>46443</v>
      </c>
      <c r="C24" s="20"/>
      <c r="D24" s="16" t="s">
        <v>741</v>
      </c>
      <c r="E24" s="17" t="s">
        <v>655</v>
      </c>
      <c r="F24" s="17" t="s">
        <v>663</v>
      </c>
      <c r="G24" s="18" t="s">
        <v>17</v>
      </c>
      <c r="H24" s="20"/>
      <c r="I24" s="17" t="s">
        <v>657</v>
      </c>
      <c r="J24" s="17"/>
      <c r="K24" s="17" t="s">
        <v>742</v>
      </c>
      <c r="L24" s="17"/>
      <c r="M24" s="21" t="s">
        <v>613</v>
      </c>
      <c r="N24" s="17" t="s">
        <v>743</v>
      </c>
    </row>
    <row r="25" customFormat="false" ht="15" hidden="false" customHeight="false" outlineLevel="0" collapsed="false">
      <c r="A25" s="17" t="s">
        <v>744</v>
      </c>
      <c r="B25" s="20"/>
      <c r="C25" s="20"/>
      <c r="D25" s="16" t="s">
        <v>745</v>
      </c>
      <c r="E25" s="17" t="s">
        <v>655</v>
      </c>
      <c r="F25" s="17" t="s">
        <v>720</v>
      </c>
      <c r="G25" s="18" t="s">
        <v>17</v>
      </c>
      <c r="H25" s="20"/>
      <c r="I25" s="17" t="s">
        <v>664</v>
      </c>
      <c r="J25" s="17" t="s">
        <v>746</v>
      </c>
      <c r="K25" s="17" t="s">
        <v>747</v>
      </c>
      <c r="L25" s="17"/>
      <c r="M25" s="21" t="s">
        <v>748</v>
      </c>
      <c r="N25" s="17"/>
    </row>
    <row r="26" customFormat="false" ht="15" hidden="false" customHeight="false" outlineLevel="0" collapsed="false">
      <c r="A26" s="17" t="s">
        <v>744</v>
      </c>
      <c r="B26" s="20"/>
      <c r="C26" s="20"/>
      <c r="D26" s="16" t="s">
        <v>749</v>
      </c>
      <c r="E26" s="17" t="s">
        <v>706</v>
      </c>
      <c r="F26" s="17" t="s">
        <v>663</v>
      </c>
      <c r="G26" s="18" t="s">
        <v>17</v>
      </c>
      <c r="H26" s="20"/>
      <c r="I26" s="17" t="s">
        <v>664</v>
      </c>
      <c r="J26" s="17" t="s">
        <v>750</v>
      </c>
      <c r="K26" s="17" t="s">
        <v>751</v>
      </c>
      <c r="L26" s="17"/>
      <c r="M26" s="21" t="s">
        <v>752</v>
      </c>
      <c r="N26" s="17"/>
    </row>
    <row r="27" customFormat="false" ht="23.85" hidden="false" customHeight="false" outlineLevel="0" collapsed="false">
      <c r="A27" s="17" t="s">
        <v>744</v>
      </c>
      <c r="B27" s="20" t="n">
        <v>46447</v>
      </c>
      <c r="C27" s="20" t="n">
        <v>46455</v>
      </c>
      <c r="D27" s="16" t="s">
        <v>753</v>
      </c>
      <c r="E27" s="17" t="s">
        <v>696</v>
      </c>
      <c r="F27" s="17" t="s">
        <v>720</v>
      </c>
      <c r="G27" s="18" t="s">
        <v>17</v>
      </c>
      <c r="H27" s="20"/>
      <c r="I27" s="17" t="s">
        <v>657</v>
      </c>
      <c r="J27" s="17"/>
      <c r="K27" s="17" t="s">
        <v>754</v>
      </c>
      <c r="L27" s="17"/>
      <c r="M27" s="21" t="s">
        <v>722</v>
      </c>
      <c r="N27" s="17" t="s">
        <v>755</v>
      </c>
    </row>
    <row r="28" customFormat="false" ht="23.85" hidden="false" customHeight="false" outlineLevel="0" collapsed="false">
      <c r="A28" s="17" t="s">
        <v>744</v>
      </c>
      <c r="B28" s="20" t="n">
        <v>46464</v>
      </c>
      <c r="C28" s="20"/>
      <c r="D28" s="16" t="s">
        <v>756</v>
      </c>
      <c r="E28" s="17" t="s">
        <v>706</v>
      </c>
      <c r="F28" s="17" t="s">
        <v>663</v>
      </c>
      <c r="G28" s="18" t="s">
        <v>17</v>
      </c>
      <c r="H28" s="20"/>
      <c r="I28" s="17" t="s">
        <v>657</v>
      </c>
      <c r="J28" s="17"/>
      <c r="K28" s="17" t="s">
        <v>757</v>
      </c>
      <c r="L28" s="17"/>
      <c r="M28" s="21" t="s">
        <v>758</v>
      </c>
      <c r="N28" s="17"/>
    </row>
    <row r="29" customFormat="false" ht="15" hidden="false" customHeight="false" outlineLevel="0" collapsed="false">
      <c r="A29" s="17" t="s">
        <v>744</v>
      </c>
      <c r="B29" s="20" t="n">
        <v>46468</v>
      </c>
      <c r="C29" s="20" t="n">
        <v>46470</v>
      </c>
      <c r="D29" s="16" t="s">
        <v>759</v>
      </c>
      <c r="E29" s="17" t="s">
        <v>706</v>
      </c>
      <c r="F29" s="17" t="s">
        <v>760</v>
      </c>
      <c r="G29" s="18" t="s">
        <v>17</v>
      </c>
      <c r="H29" s="20"/>
      <c r="I29" s="17" t="s">
        <v>657</v>
      </c>
      <c r="J29" s="17"/>
      <c r="K29" s="17" t="s">
        <v>761</v>
      </c>
      <c r="L29" s="17"/>
      <c r="M29" s="21" t="s">
        <v>762</v>
      </c>
      <c r="N29" s="17"/>
    </row>
    <row r="30" customFormat="false" ht="15" hidden="false" customHeight="false" outlineLevel="0" collapsed="false">
      <c r="A30" s="17" t="s">
        <v>763</v>
      </c>
      <c r="B30" s="20"/>
      <c r="C30" s="20"/>
      <c r="D30" s="16" t="s">
        <v>764</v>
      </c>
      <c r="E30" s="17" t="s">
        <v>706</v>
      </c>
      <c r="F30" s="17" t="s">
        <v>663</v>
      </c>
      <c r="G30" s="18" t="s">
        <v>17</v>
      </c>
      <c r="H30" s="20"/>
      <c r="I30" s="17" t="s">
        <v>664</v>
      </c>
      <c r="J30" s="17" t="s">
        <v>765</v>
      </c>
      <c r="K30" s="17" t="s">
        <v>766</v>
      </c>
      <c r="L30" s="17"/>
      <c r="M30" s="21" t="s">
        <v>767</v>
      </c>
      <c r="N30" s="17"/>
    </row>
    <row r="31" customFormat="false" ht="15" hidden="false" customHeight="false" outlineLevel="0" collapsed="false">
      <c r="A31" s="17" t="s">
        <v>768</v>
      </c>
      <c r="B31" s="20"/>
      <c r="C31" s="20"/>
      <c r="D31" s="16" t="s">
        <v>769</v>
      </c>
      <c r="E31" s="17" t="s">
        <v>706</v>
      </c>
      <c r="F31" s="17" t="s">
        <v>770</v>
      </c>
      <c r="G31" s="18" t="s">
        <v>17</v>
      </c>
      <c r="H31" s="20"/>
      <c r="I31" s="17" t="s">
        <v>664</v>
      </c>
      <c r="J31" s="17" t="s">
        <v>771</v>
      </c>
      <c r="K31" s="17" t="s">
        <v>772</v>
      </c>
      <c r="L31" s="17"/>
      <c r="M31" s="21" t="s">
        <v>773</v>
      </c>
      <c r="N31" s="17"/>
    </row>
    <row r="32" customFormat="false" ht="23.85" hidden="false" customHeight="false" outlineLevel="0" collapsed="false">
      <c r="A32" s="17" t="s">
        <v>768</v>
      </c>
      <c r="B32" s="20"/>
      <c r="C32" s="20"/>
      <c r="D32" s="16" t="s">
        <v>774</v>
      </c>
      <c r="E32" s="17" t="s">
        <v>706</v>
      </c>
      <c r="F32" s="17" t="s">
        <v>697</v>
      </c>
      <c r="G32" s="18" t="s">
        <v>17</v>
      </c>
      <c r="H32" s="20"/>
      <c r="I32" s="17" t="s">
        <v>664</v>
      </c>
      <c r="J32" s="17" t="s">
        <v>775</v>
      </c>
      <c r="K32" s="17" t="s">
        <v>776</v>
      </c>
      <c r="L32" s="17"/>
      <c r="M32" s="21" t="s">
        <v>777</v>
      </c>
      <c r="N32" s="17"/>
    </row>
    <row r="33" customFormat="false" ht="23.85" hidden="false" customHeight="false" outlineLevel="0" collapsed="false">
      <c r="A33" s="17" t="s">
        <v>768</v>
      </c>
      <c r="B33" s="20" t="n">
        <v>46510</v>
      </c>
      <c r="C33" s="20"/>
      <c r="D33" s="16" t="s">
        <v>778</v>
      </c>
      <c r="E33" s="17" t="s">
        <v>655</v>
      </c>
      <c r="F33" s="17" t="s">
        <v>656</v>
      </c>
      <c r="G33" s="18" t="s">
        <v>17</v>
      </c>
      <c r="H33" s="20"/>
      <c r="I33" s="17" t="s">
        <v>657</v>
      </c>
      <c r="J33" s="17"/>
      <c r="K33" s="17" t="s">
        <v>779</v>
      </c>
      <c r="L33" s="17"/>
      <c r="M33" s="21" t="s">
        <v>780</v>
      </c>
      <c r="N33" s="17" t="s">
        <v>781</v>
      </c>
    </row>
    <row r="34" customFormat="false" ht="23.85" hidden="false" customHeight="false" outlineLevel="0" collapsed="false">
      <c r="A34" s="17" t="s">
        <v>782</v>
      </c>
      <c r="B34" s="20"/>
      <c r="C34" s="20"/>
      <c r="D34" s="16" t="s">
        <v>633</v>
      </c>
      <c r="E34" s="17" t="s">
        <v>682</v>
      </c>
      <c r="F34" s="17" t="s">
        <v>663</v>
      </c>
      <c r="G34" s="18" t="s">
        <v>17</v>
      </c>
      <c r="H34" s="20"/>
      <c r="I34" s="17" t="s">
        <v>664</v>
      </c>
      <c r="J34" s="17" t="s">
        <v>783</v>
      </c>
      <c r="K34" s="17" t="s">
        <v>784</v>
      </c>
      <c r="L34" s="17"/>
      <c r="M34" s="21" t="s">
        <v>637</v>
      </c>
      <c r="N34" s="17" t="s">
        <v>785</v>
      </c>
    </row>
    <row r="35" customFormat="false" ht="15" hidden="false" customHeight="false" outlineLevel="0" collapsed="false">
      <c r="A35" s="17" t="s">
        <v>782</v>
      </c>
      <c r="B35" s="20" t="n">
        <v>46539</v>
      </c>
      <c r="C35" s="20" t="n">
        <v>46541</v>
      </c>
      <c r="D35" s="16" t="s">
        <v>786</v>
      </c>
      <c r="E35" s="17" t="s">
        <v>706</v>
      </c>
      <c r="F35" s="17" t="s">
        <v>787</v>
      </c>
      <c r="G35" s="18" t="s">
        <v>17</v>
      </c>
      <c r="H35" s="20"/>
      <c r="I35" s="17" t="s">
        <v>657</v>
      </c>
      <c r="J35" s="17"/>
      <c r="K35" s="17" t="s">
        <v>761</v>
      </c>
      <c r="L35" s="17"/>
      <c r="M35" s="21" t="s">
        <v>788</v>
      </c>
      <c r="N35" s="17"/>
    </row>
    <row r="36" customFormat="false" ht="15" hidden="false" customHeight="false" outlineLevel="0" collapsed="false">
      <c r="A36" s="17" t="s">
        <v>782</v>
      </c>
      <c r="B36" s="20" t="n">
        <v>46559</v>
      </c>
      <c r="C36" s="20" t="n">
        <v>46563</v>
      </c>
      <c r="D36" s="16" t="s">
        <v>789</v>
      </c>
      <c r="E36" s="17" t="s">
        <v>790</v>
      </c>
      <c r="F36" s="17" t="s">
        <v>791</v>
      </c>
      <c r="G36" s="18" t="s">
        <v>17</v>
      </c>
      <c r="H36" s="20"/>
      <c r="I36" s="17" t="s">
        <v>657</v>
      </c>
      <c r="J36" s="17"/>
      <c r="K36" s="17" t="s">
        <v>792</v>
      </c>
      <c r="L36" s="17"/>
      <c r="M36" s="21" t="s">
        <v>793</v>
      </c>
      <c r="N36" s="17"/>
    </row>
    <row r="37" customFormat="false" ht="15" hidden="false" customHeight="false" outlineLevel="0" collapsed="false">
      <c r="A37" s="17" t="s">
        <v>794</v>
      </c>
      <c r="B37" s="20" t="n">
        <v>46573</v>
      </c>
      <c r="C37" s="20" t="n">
        <v>46576</v>
      </c>
      <c r="D37" s="16" t="s">
        <v>795</v>
      </c>
      <c r="E37" s="17" t="s">
        <v>696</v>
      </c>
      <c r="F37" s="17" t="s">
        <v>720</v>
      </c>
      <c r="G37" s="18" t="s">
        <v>17</v>
      </c>
      <c r="H37" s="20"/>
      <c r="I37" s="17" t="s">
        <v>657</v>
      </c>
      <c r="J37" s="17"/>
      <c r="K37" s="17" t="s">
        <v>796</v>
      </c>
      <c r="L37" s="17"/>
      <c r="M37" s="21" t="s">
        <v>722</v>
      </c>
      <c r="N37" s="17"/>
    </row>
    <row r="38" customFormat="false" ht="23.85" hidden="false" customHeight="false" outlineLevel="0" collapsed="false">
      <c r="A38" s="17" t="s">
        <v>797</v>
      </c>
      <c r="B38" s="20"/>
      <c r="C38" s="20"/>
      <c r="D38" s="16" t="s">
        <v>798</v>
      </c>
      <c r="E38" s="17" t="s">
        <v>790</v>
      </c>
      <c r="F38" s="17" t="s">
        <v>799</v>
      </c>
      <c r="G38" s="18" t="s">
        <v>17</v>
      </c>
      <c r="H38" s="20"/>
      <c r="I38" s="17" t="s">
        <v>664</v>
      </c>
      <c r="J38" s="17" t="s">
        <v>800</v>
      </c>
      <c r="K38" s="17" t="s">
        <v>801</v>
      </c>
      <c r="L38" s="17"/>
      <c r="M38" s="21" t="s">
        <v>802</v>
      </c>
      <c r="N38" s="17"/>
    </row>
    <row r="39" customFormat="false" ht="23.85" hidden="false" customHeight="false" outlineLevel="0" collapsed="false">
      <c r="A39" s="17" t="s">
        <v>803</v>
      </c>
      <c r="B39" s="20"/>
      <c r="C39" s="20"/>
      <c r="D39" s="16" t="s">
        <v>804</v>
      </c>
      <c r="E39" s="17" t="s">
        <v>696</v>
      </c>
      <c r="F39" s="17" t="s">
        <v>656</v>
      </c>
      <c r="G39" s="18" t="s">
        <v>17</v>
      </c>
      <c r="H39" s="20"/>
      <c r="I39" s="17" t="s">
        <v>664</v>
      </c>
      <c r="J39" s="17" t="s">
        <v>805</v>
      </c>
      <c r="K39" s="17" t="s">
        <v>806</v>
      </c>
      <c r="L39" s="17"/>
      <c r="M39" s="21" t="s">
        <v>807</v>
      </c>
      <c r="N39" s="17"/>
    </row>
    <row r="40" customFormat="false" ht="15" hidden="false" customHeight="false" outlineLevel="0" collapsed="false">
      <c r="A40" s="17" t="s">
        <v>803</v>
      </c>
      <c r="B40" s="20"/>
      <c r="C40" s="20"/>
      <c r="D40" s="16" t="s">
        <v>808</v>
      </c>
      <c r="E40" s="17" t="s">
        <v>655</v>
      </c>
      <c r="F40" s="17" t="s">
        <v>663</v>
      </c>
      <c r="G40" s="18" t="s">
        <v>17</v>
      </c>
      <c r="H40" s="20"/>
      <c r="I40" s="17" t="s">
        <v>664</v>
      </c>
      <c r="J40" s="17" t="s">
        <v>809</v>
      </c>
      <c r="K40" s="17" t="s">
        <v>810</v>
      </c>
      <c r="L40" s="17"/>
      <c r="M40" s="21" t="s">
        <v>811</v>
      </c>
      <c r="N40" s="17"/>
    </row>
    <row r="41" customFormat="false" ht="23.85" hidden="false" customHeight="false" outlineLevel="0" collapsed="false">
      <c r="A41" s="17" t="s">
        <v>803</v>
      </c>
      <c r="B41" s="20"/>
      <c r="C41" s="20"/>
      <c r="D41" s="16" t="s">
        <v>812</v>
      </c>
      <c r="E41" s="17" t="s">
        <v>696</v>
      </c>
      <c r="F41" s="17" t="s">
        <v>663</v>
      </c>
      <c r="G41" s="18" t="s">
        <v>17</v>
      </c>
      <c r="H41" s="20"/>
      <c r="I41" s="17" t="s">
        <v>664</v>
      </c>
      <c r="J41" s="17" t="s">
        <v>813</v>
      </c>
      <c r="K41" s="17" t="s">
        <v>814</v>
      </c>
      <c r="L41" s="17"/>
      <c r="M41" s="21" t="s">
        <v>815</v>
      </c>
      <c r="N41" s="17"/>
    </row>
    <row r="42" customFormat="false" ht="15" hidden="false" customHeight="false" outlineLevel="0" collapsed="false">
      <c r="A42" s="17" t="s">
        <v>803</v>
      </c>
      <c r="B42" s="20"/>
      <c r="C42" s="20"/>
      <c r="D42" s="16" t="s">
        <v>816</v>
      </c>
      <c r="E42" s="17" t="s">
        <v>696</v>
      </c>
      <c r="F42" s="17" t="s">
        <v>720</v>
      </c>
      <c r="G42" s="18" t="s">
        <v>17</v>
      </c>
      <c r="H42" s="20"/>
      <c r="I42" s="17" t="s">
        <v>664</v>
      </c>
      <c r="J42" s="17" t="s">
        <v>817</v>
      </c>
      <c r="K42" s="17" t="s">
        <v>818</v>
      </c>
      <c r="L42" s="17"/>
      <c r="M42" s="21" t="s">
        <v>722</v>
      </c>
      <c r="N42" s="17"/>
    </row>
    <row r="43" customFormat="false" ht="23.85" hidden="false" customHeight="false" outlineLevel="0" collapsed="false">
      <c r="A43" s="17" t="s">
        <v>819</v>
      </c>
      <c r="B43" s="20"/>
      <c r="C43" s="20"/>
      <c r="D43" s="16" t="s">
        <v>820</v>
      </c>
      <c r="E43" s="17" t="s">
        <v>655</v>
      </c>
      <c r="F43" s="17" t="s">
        <v>720</v>
      </c>
      <c r="G43" s="18" t="s">
        <v>17</v>
      </c>
      <c r="H43" s="20"/>
      <c r="I43" s="17" t="s">
        <v>664</v>
      </c>
      <c r="J43" s="17" t="s">
        <v>821</v>
      </c>
      <c r="K43" s="17" t="s">
        <v>822</v>
      </c>
      <c r="L43" s="17"/>
      <c r="M43" s="21" t="s">
        <v>823</v>
      </c>
      <c r="N43" s="17"/>
    </row>
    <row r="44" customFormat="false" ht="15" hidden="false" customHeight="false" outlineLevel="0" collapsed="false">
      <c r="A44" s="17" t="s">
        <v>824</v>
      </c>
      <c r="B44" s="20" t="n">
        <v>46702</v>
      </c>
      <c r="C44" s="20" t="n">
        <v>46703</v>
      </c>
      <c r="D44" s="16" t="s">
        <v>825</v>
      </c>
      <c r="E44" s="17" t="s">
        <v>682</v>
      </c>
      <c r="F44" s="17" t="s">
        <v>663</v>
      </c>
      <c r="G44" s="18" t="s">
        <v>17</v>
      </c>
      <c r="H44" s="20"/>
      <c r="I44" s="17" t="s">
        <v>657</v>
      </c>
      <c r="J44" s="17"/>
      <c r="K44" s="17" t="s">
        <v>826</v>
      </c>
      <c r="L44" s="17"/>
      <c r="M44" s="21" t="s">
        <v>827</v>
      </c>
      <c r="N44" s="17" t="s">
        <v>828</v>
      </c>
    </row>
    <row r="45" customFormat="false" ht="15" hidden="false" customHeight="false" outlineLevel="0" collapsed="false">
      <c r="B45" s="22"/>
      <c r="C45" s="22"/>
      <c r="H45" s="22"/>
    </row>
    <row r="46" customFormat="false" ht="15" hidden="false" customHeight="false" outlineLevel="0" collapsed="false">
      <c r="B46" s="22"/>
      <c r="C46" s="22"/>
      <c r="H46" s="22"/>
    </row>
    <row r="47" customFormat="false" ht="15" hidden="false" customHeight="false" outlineLevel="0" collapsed="false">
      <c r="B47" s="22"/>
      <c r="C47" s="22"/>
      <c r="H47" s="22"/>
    </row>
    <row r="48" customFormat="false" ht="15" hidden="false" customHeight="false" outlineLevel="0" collapsed="false">
      <c r="B48" s="22"/>
      <c r="C48" s="22"/>
      <c r="H48" s="22"/>
    </row>
    <row r="49" customFormat="false" ht="15" hidden="false" customHeight="false" outlineLevel="0" collapsed="false">
      <c r="B49" s="22"/>
      <c r="C49" s="22"/>
      <c r="H49" s="22"/>
    </row>
    <row r="50" customFormat="false" ht="15" hidden="false" customHeight="false" outlineLevel="0" collapsed="false">
      <c r="B50" s="22"/>
      <c r="C50" s="22"/>
      <c r="H50" s="22"/>
    </row>
    <row r="51" customFormat="false" ht="15" hidden="false" customHeight="false" outlineLevel="0" collapsed="false">
      <c r="B51" s="22"/>
      <c r="C51" s="22"/>
      <c r="H51" s="22"/>
    </row>
    <row r="52" customFormat="false" ht="15" hidden="false" customHeight="false" outlineLevel="0" collapsed="false">
      <c r="B52" s="22"/>
      <c r="C52" s="22"/>
      <c r="H52" s="22"/>
    </row>
    <row r="53" customFormat="false" ht="15" hidden="false" customHeight="false" outlineLevel="0" collapsed="false">
      <c r="B53" s="22"/>
      <c r="C53" s="22"/>
      <c r="H53" s="22"/>
    </row>
    <row r="54" customFormat="false" ht="15" hidden="false" customHeight="false" outlineLevel="0" collapsed="false">
      <c r="B54" s="22"/>
      <c r="C54" s="22"/>
      <c r="H54" s="22"/>
    </row>
    <row r="55" customFormat="false" ht="15" hidden="false" customHeight="false" outlineLevel="0" collapsed="false">
      <c r="B55" s="22"/>
      <c r="C55" s="22"/>
      <c r="H55" s="22"/>
    </row>
    <row r="56" customFormat="false" ht="15" hidden="false" customHeight="false" outlineLevel="0" collapsed="false">
      <c r="B56" s="22"/>
      <c r="C56" s="22"/>
      <c r="H56" s="22"/>
    </row>
    <row r="57" customFormat="false" ht="15" hidden="false" customHeight="false" outlineLevel="0" collapsed="false">
      <c r="B57" s="22"/>
      <c r="C57" s="22"/>
      <c r="H57" s="22"/>
    </row>
    <row r="58" customFormat="false" ht="15" hidden="false" customHeight="false" outlineLevel="0" collapsed="false">
      <c r="B58" s="22"/>
      <c r="C58" s="22"/>
      <c r="H58" s="22"/>
    </row>
    <row r="59" customFormat="false" ht="15" hidden="false" customHeight="false" outlineLevel="0" collapsed="false">
      <c r="B59" s="22"/>
      <c r="C59" s="22"/>
      <c r="H59" s="22"/>
    </row>
    <row r="60" customFormat="false" ht="15" hidden="false" customHeight="false" outlineLevel="0" collapsed="false">
      <c r="B60" s="22"/>
      <c r="C60" s="22"/>
      <c r="H60" s="22"/>
    </row>
    <row r="61" customFormat="false" ht="15" hidden="false" customHeight="false" outlineLevel="0" collapsed="false">
      <c r="B61" s="22"/>
      <c r="C61" s="22"/>
      <c r="H61" s="22"/>
    </row>
    <row r="62" customFormat="false" ht="15" hidden="false" customHeight="false" outlineLevel="0" collapsed="false">
      <c r="B62" s="22"/>
      <c r="C62" s="22"/>
      <c r="H62" s="22"/>
    </row>
    <row r="63" customFormat="false" ht="15" hidden="false" customHeight="false" outlineLevel="0" collapsed="false">
      <c r="B63" s="22"/>
      <c r="C63" s="22"/>
      <c r="H63" s="22"/>
    </row>
    <row r="64" customFormat="false" ht="15" hidden="false" customHeight="false" outlineLevel="0" collapsed="false">
      <c r="B64" s="22"/>
      <c r="C64" s="22"/>
      <c r="H64" s="22"/>
    </row>
    <row r="65" customFormat="false" ht="15" hidden="false" customHeight="false" outlineLevel="0" collapsed="false">
      <c r="B65" s="22"/>
      <c r="C65" s="22"/>
      <c r="H65" s="22"/>
    </row>
    <row r="66" customFormat="false" ht="15" hidden="false" customHeight="false" outlineLevel="0" collapsed="false">
      <c r="B66" s="22"/>
      <c r="C66" s="22"/>
      <c r="H66" s="22"/>
    </row>
    <row r="67" customFormat="false" ht="15" hidden="false" customHeight="false" outlineLevel="0" collapsed="false">
      <c r="B67" s="22"/>
      <c r="C67" s="22"/>
      <c r="H67" s="22"/>
    </row>
    <row r="68" customFormat="false" ht="15" hidden="false" customHeight="false" outlineLevel="0" collapsed="false">
      <c r="B68" s="22"/>
      <c r="C68" s="22"/>
      <c r="H68" s="22"/>
    </row>
    <row r="69" customFormat="false" ht="15" hidden="false" customHeight="false" outlineLevel="0" collapsed="false">
      <c r="B69" s="22"/>
      <c r="C69" s="22"/>
      <c r="H69" s="22"/>
    </row>
    <row r="70" customFormat="false" ht="15" hidden="false" customHeight="false" outlineLevel="0" collapsed="false">
      <c r="B70" s="22"/>
      <c r="C70" s="22"/>
      <c r="H70" s="22"/>
    </row>
    <row r="71" customFormat="false" ht="15" hidden="false" customHeight="false" outlineLevel="0" collapsed="false">
      <c r="B71" s="22"/>
      <c r="C71" s="22"/>
      <c r="H71" s="22"/>
    </row>
    <row r="72" customFormat="false" ht="15" hidden="false" customHeight="false" outlineLevel="0" collapsed="false">
      <c r="B72" s="22"/>
      <c r="C72" s="22"/>
      <c r="H72" s="22"/>
    </row>
    <row r="73" customFormat="false" ht="15" hidden="false" customHeight="false" outlineLevel="0" collapsed="false">
      <c r="B73" s="22"/>
      <c r="C73" s="22"/>
      <c r="H73" s="22"/>
    </row>
    <row r="74" customFormat="false" ht="15" hidden="false" customHeight="false" outlineLevel="0" collapsed="false">
      <c r="B74" s="22"/>
      <c r="C74" s="22"/>
      <c r="H74" s="22"/>
    </row>
  </sheetData>
  <autoFilter ref="A4:N44"/>
  <conditionalFormatting sqref="A5:N74">
    <cfRule type="expression" priority="2" aboveAverage="0" equalAverage="0" bottom="0" percent="0" rank="0" text="" dxfId="7">
      <formula>$G5="Applied"</formula>
    </cfRule>
    <cfRule type="expression" priority="3" aboveAverage="0" equalAverage="0" bottom="0" percent="0" rank="0" text="" dxfId="8">
      <formula>$G5="Invited"</formula>
    </cfRule>
    <cfRule type="expression" priority="4" aboveAverage="0" equalAverage="0" bottom="0" percent="0" rank="0" text="" dxfId="9">
      <formula>$G5="Going"</formula>
    </cfRule>
    <cfRule type="expression" priority="5" aboveAverage="0" equalAverage="0" bottom="0" percent="0" rank="0" text="" dxfId="10">
      <formula>$G5="Went"</formula>
    </cfRule>
    <cfRule type="expression" priority="6" aboveAverage="0" equalAverage="0" bottom="0" percent="0" rank="0" text="" dxfId="10">
      <formula>$G5="Skip"</formula>
    </cfRule>
  </conditionalFormatting>
  <conditionalFormatting sqref="I5:I74">
    <cfRule type="expression" priority="7" aboveAverage="0" equalAverage="0" bottom="0" percent="0" rank="0" text="" dxfId="14">
      <formula>$I5="No"</formula>
    </cfRule>
  </conditionalFormatting>
  <dataValidations count="2">
    <dataValidation allowBlank="true" errorStyle="stop" operator="between" showDropDown="false" showErrorMessage="false" showInputMessage="false" sqref="G5:G74" type="list">
      <formula1>"Want to go,Applied,Invited,Going,Went,Skip"</formula1>
      <formula2>0</formula2>
    </dataValidation>
    <dataValidation allowBlank="true" errorStyle="stop" operator="between" showDropDown="false" showErrorMessage="false" showInputMessage="false" sqref="E5:E74" type="list">
      <formula1>"Awards,Fashion week,Conference,Creator,Data &amp; tech"</formula1>
      <formula2>0</formula2>
    </dataValidation>
  </dataValidations>
  <hyperlinks>
    <hyperlink ref="M5" r:id="rId1" display="https://www.webwire.com/ViewPressRel.asp?aId=358636"/>
    <hyperlink ref="M6" r:id="rId2" display="https://www.fipp.com/news/harpers-bazaars-women-of-the-year-awards-return-for-2025/"/>
    <hyperlink ref="M7" r:id="rId3" display="https://inpublishing.co.uk/articles/british-gq-men-of-the-year-returns-24744"/>
    <hyperlink ref="M8" r:id="rId4" display="https://fashionunited.uk/news/fashion/fashion-trust-arabia-names-2025-prize-winners-in-qatar/2025120185142"/>
    <hyperlink ref="M9" r:id="rId5" display="https://cfda.com/news/save-the-date-the-cfda-fashion-awards-presented-by-amazon-fashion-are-set-for-nov-2/"/>
    <hyperlink ref="M10" r:id="rId6" display="https://english.rvo.nl/events/web-summit-2026-lisbon"/>
    <hyperlink ref="M11" r:id="rId7" display="https://www.sussexexpress.co.uk/business/eastbourne-based-business-shortlisted-for-fashion-industry-leading-award-9253997"/>
    <hyperlink ref="M12" r:id="rId8" display="https://fashionunited.uk/news/fashion/bfc-announces-fashion-awards-2026-nominees/2026091690370"/>
    <hyperlink ref="M13" r:id="rId9" display="https://copenhagenfashionweek.com/application/show-presentation-schedule-information"/>
    <hyperlink ref="M14" r:id="rId10" display="https://londonfashionweek.co.uk/accreditation-criteria"/>
    <hyperlink ref="M15" r:id="rId11" display="https://pages.businessoffashion.com/voices-2026/"/>
    <hyperlink ref="M16" r:id="rId12" display="https://retailboss.co/events/nrf-2027-retails-big-show/"/>
    <hyperlink ref="M17" r:id="rId13" display="https://thesybarite.co/experiences/milan-fashion-week-autumn-winter-2027"/>
    <hyperlink ref="M18" r:id="rId14" display="https://www.fhcm.paris/en/next-dates"/>
    <hyperlink ref="M19" r:id="rId15" display="https://www.fhcm.paris/en/next-dates"/>
    <hyperlink ref="M20" r:id="rId16" display="https://cfda.com/news/nyfw-mens-media-retail-registration-is-open/"/>
    <hyperlink ref="M21" r:id="rId17" display="https://www.britishfashioncouncil.co.uk"/>
    <hyperlink ref="M22" r:id="rId18" display="https://copenhagenfashionweek.com/"/>
    <hyperlink ref="M23" r:id="rId19" display="https://www.milanofinanza.it/news/milano-un-febbraio-2027-caldo-tra-moda-e-motori-2716565"/>
    <hyperlink ref="M24" r:id="rId20" display="https://www.retail-week.com/events"/>
    <hyperlink ref="M25" r:id="rId21" display="https://www.lvmh.com/en/news-lvmh/2026-lvmh-prize-for-young-fashion-designers13th-edition"/>
    <hyperlink ref="M26" r:id="rId22" display="https://www.fibre2fashion.com/trade-fairs/drapers-conscious-fashion-summit-2026-65414"/>
    <hyperlink ref="M27" r:id="rId23" display="https://www.fhcm.paris/en/next-dates"/>
    <hyperlink ref="M28" r:id="rId24" display="https://live.retail-week.com/"/>
    <hyperlink ref="M29" r:id="rId25" display="https://www.beri.net/events/shoptalk-spring-2027"/>
    <hyperlink ref="M30" r:id="rId26" display="https://machalliance.org/events/mapp-fashion-decoded-2026"/>
    <hyperlink ref="M31" r:id="rId27" display="https://zapiet.com/events/vogue-business-summit-2026"/>
    <hyperlink ref="M32" r:id="rId28" display="https://www.worldfootwear.com/events/global-fashion-summit-copenhagen-denmark-/5822.html"/>
    <hyperlink ref="M33" r:id="rId29" display="https://vogue.ph/fashion/everything-you-need-to-know-met-gala-2027/"/>
    <hyperlink ref="M34" r:id="rId30" display="https://pretalx.com/pydata-london-2026/cfp"/>
    <hyperlink ref="M35" r:id="rId31" display="https://www.cantonfair.net/event/31439-shoptalk-europe-2027-europes-home-for-retail-innovation-1-3-june-barcelona"/>
    <hyperlink ref="M36" r:id="rId32" display="https://en.cannes-france.com/offers/cannes-lions-international-festival-of-creativity-cannes-en-3657190/"/>
    <hyperlink ref="M37" r:id="rId33" display="https://www.fhcm.paris/en/next-dates"/>
    <hyperlink ref="M38" r:id="rId34" display="https://retailboss.co/?p=19549"/>
    <hyperlink ref="M39" r:id="rId35" display="https://fashionunited.uk/news/fashion/cfda-unveils-nyfw-schedule-with-new-additions-returning-brands-and-fur-free-debut/2026070188958"/>
    <hyperlink ref="M40" r:id="rId36" display="https://www.hearstmagazinesinternational.com/news/elle-uk-celebrates-the-2025-elle-style-awards/"/>
    <hyperlink ref="M41" r:id="rId37" display="https://fashionunited.uk/news/fashion/lfw-ss27-bfc-announces-provisional-schedule/2026072089310"/>
    <hyperlink ref="M42" r:id="rId38" display="https://www.fhcm.paris/en/next-dates"/>
    <hyperlink ref="M43" r:id="rId39" display="https://www.quien.com/moda/2026/10/05/los-mejores-looks-de-la-gala-de-bof-500-2026"/>
    <hyperlink ref="M44" r:id="rId40" display="https://zplatform.ai/ai-event/women-in-ai-global-summit-202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2026-10-11T19:27:52Z</dcterms:created>
  <dc:creator>openpyxl</dc:creator>
  <dc:description/>
  <dc:language>en-US</dc:language>
  <cp:lastModifiedBy/>
  <dcterms:modified xsi:type="dcterms:W3CDTF">2026-10-11T19:27:52Z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